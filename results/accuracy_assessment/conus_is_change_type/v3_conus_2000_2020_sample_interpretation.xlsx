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K:\CSM_project\code_for_publication\results\accuracy_assessment\conus_is_change_type\"/>
    </mc:Choice>
  </mc:AlternateContent>
  <xr:revisionPtr revIDLastSave="0" documentId="13_ncr:1_{70813C0A-369E-4960-AC74-28C32A1FBC1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terpretation_record" sheetId="1" r:id="rId1"/>
    <sheet name="selection_option" sheetId="2" r:id="rId2"/>
    <sheet name="definition" sheetId="3" r:id="rId3"/>
  </sheets>
  <definedNames>
    <definedName name="_xlnm._FilterDatabase" localSheetId="0" hidden="1">interpretation_record!$A$1:$M$701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4" i="1" l="1"/>
  <c r="I701" i="1"/>
  <c r="H701" i="1"/>
  <c r="G701" i="1"/>
  <c r="I700" i="1"/>
  <c r="H700" i="1"/>
  <c r="G700" i="1"/>
  <c r="I699" i="1"/>
  <c r="H699" i="1"/>
  <c r="G699" i="1"/>
  <c r="I698" i="1"/>
  <c r="H698" i="1"/>
  <c r="G698" i="1"/>
  <c r="I697" i="1"/>
  <c r="H697" i="1"/>
  <c r="G697" i="1"/>
  <c r="I696" i="1"/>
  <c r="H696" i="1"/>
  <c r="G696" i="1"/>
  <c r="I695" i="1"/>
  <c r="H695" i="1"/>
  <c r="G695" i="1"/>
  <c r="I694" i="1"/>
  <c r="H694" i="1"/>
  <c r="G694" i="1"/>
  <c r="I693" i="1"/>
  <c r="H693" i="1"/>
  <c r="G693" i="1"/>
  <c r="I692" i="1"/>
  <c r="H692" i="1"/>
  <c r="G692" i="1"/>
  <c r="I691" i="1"/>
  <c r="H691" i="1"/>
  <c r="G691" i="1"/>
  <c r="I690" i="1"/>
  <c r="H690" i="1"/>
  <c r="G690" i="1"/>
  <c r="I689" i="1"/>
  <c r="H689" i="1"/>
  <c r="G689" i="1"/>
  <c r="I688" i="1"/>
  <c r="H688" i="1"/>
  <c r="G688" i="1"/>
  <c r="I687" i="1"/>
  <c r="H687" i="1"/>
  <c r="G687" i="1"/>
  <c r="I686" i="1"/>
  <c r="H686" i="1"/>
  <c r="G686" i="1"/>
  <c r="I685" i="1"/>
  <c r="H685" i="1"/>
  <c r="G685" i="1"/>
  <c r="I684" i="1"/>
  <c r="H684" i="1"/>
  <c r="G684" i="1"/>
  <c r="I683" i="1"/>
  <c r="H683" i="1"/>
  <c r="G683" i="1"/>
  <c r="I682" i="1"/>
  <c r="H682" i="1"/>
  <c r="G682" i="1"/>
  <c r="I681" i="1"/>
  <c r="H681" i="1"/>
  <c r="G681" i="1"/>
  <c r="I680" i="1"/>
  <c r="H680" i="1"/>
  <c r="G680" i="1"/>
  <c r="I679" i="1"/>
  <c r="H679" i="1"/>
  <c r="G679" i="1"/>
  <c r="I678" i="1"/>
  <c r="H678" i="1"/>
  <c r="G678" i="1"/>
  <c r="I677" i="1"/>
  <c r="H677" i="1"/>
  <c r="G677" i="1"/>
  <c r="I676" i="1"/>
  <c r="H676" i="1"/>
  <c r="G676" i="1"/>
  <c r="I675" i="1"/>
  <c r="H675" i="1"/>
  <c r="G675" i="1"/>
  <c r="I674" i="1"/>
  <c r="H674" i="1"/>
  <c r="G674" i="1"/>
  <c r="I673" i="1"/>
  <c r="H673" i="1"/>
  <c r="G673" i="1"/>
  <c r="I672" i="1"/>
  <c r="H672" i="1"/>
  <c r="G672" i="1"/>
  <c r="I671" i="1"/>
  <c r="H671" i="1"/>
  <c r="G671" i="1"/>
  <c r="I670" i="1"/>
  <c r="H670" i="1"/>
  <c r="G670" i="1"/>
  <c r="I669" i="1"/>
  <c r="H669" i="1"/>
  <c r="G669" i="1"/>
  <c r="I668" i="1"/>
  <c r="H668" i="1"/>
  <c r="G668" i="1"/>
  <c r="I667" i="1"/>
  <c r="H667" i="1"/>
  <c r="G667" i="1"/>
  <c r="I666" i="1"/>
  <c r="H666" i="1"/>
  <c r="G666" i="1"/>
  <c r="I665" i="1"/>
  <c r="H665" i="1"/>
  <c r="G665" i="1"/>
  <c r="I664" i="1"/>
  <c r="H664" i="1"/>
  <c r="G664" i="1"/>
  <c r="I663" i="1"/>
  <c r="H663" i="1"/>
  <c r="G663" i="1"/>
  <c r="I662" i="1"/>
  <c r="H662" i="1"/>
  <c r="G662" i="1"/>
  <c r="I661" i="1"/>
  <c r="H661" i="1"/>
  <c r="G661" i="1"/>
  <c r="I660" i="1"/>
  <c r="H660" i="1"/>
  <c r="G660" i="1"/>
  <c r="I659" i="1"/>
  <c r="H659" i="1"/>
  <c r="G659" i="1"/>
  <c r="I658" i="1"/>
  <c r="H658" i="1"/>
  <c r="G658" i="1"/>
  <c r="I657" i="1"/>
  <c r="H657" i="1"/>
  <c r="G657" i="1"/>
  <c r="I656" i="1"/>
  <c r="H656" i="1"/>
  <c r="G656" i="1"/>
  <c r="I655" i="1"/>
  <c r="H655" i="1"/>
  <c r="G655" i="1"/>
  <c r="I654" i="1"/>
  <c r="H654" i="1"/>
  <c r="G654" i="1"/>
  <c r="I653" i="1"/>
  <c r="H653" i="1"/>
  <c r="G653" i="1"/>
  <c r="I652" i="1"/>
  <c r="H652" i="1"/>
  <c r="G652" i="1"/>
  <c r="I651" i="1"/>
  <c r="H651" i="1"/>
  <c r="G651" i="1"/>
  <c r="I650" i="1"/>
  <c r="H650" i="1"/>
  <c r="G650" i="1"/>
  <c r="I649" i="1"/>
  <c r="H649" i="1"/>
  <c r="G649" i="1"/>
  <c r="I648" i="1"/>
  <c r="H648" i="1"/>
  <c r="G648" i="1"/>
  <c r="I647" i="1"/>
  <c r="H647" i="1"/>
  <c r="G647" i="1"/>
  <c r="I646" i="1"/>
  <c r="H646" i="1"/>
  <c r="G646" i="1"/>
  <c r="I645" i="1"/>
  <c r="H645" i="1"/>
  <c r="G645" i="1"/>
  <c r="I644" i="1"/>
  <c r="H644" i="1"/>
  <c r="G644" i="1"/>
  <c r="I643" i="1"/>
  <c r="H643" i="1"/>
  <c r="G643" i="1"/>
  <c r="I642" i="1"/>
  <c r="H642" i="1"/>
  <c r="G642" i="1"/>
  <c r="I641" i="1"/>
  <c r="H641" i="1"/>
  <c r="G641" i="1"/>
  <c r="I640" i="1"/>
  <c r="H640" i="1"/>
  <c r="G640" i="1"/>
  <c r="I639" i="1"/>
  <c r="H639" i="1"/>
  <c r="G639" i="1"/>
  <c r="I638" i="1"/>
  <c r="H638" i="1"/>
  <c r="G638" i="1"/>
  <c r="I637" i="1"/>
  <c r="H637" i="1"/>
  <c r="G637" i="1"/>
  <c r="I636" i="1"/>
  <c r="H636" i="1"/>
  <c r="G636" i="1"/>
  <c r="I635" i="1"/>
  <c r="H635" i="1"/>
  <c r="G635" i="1"/>
  <c r="I634" i="1"/>
  <c r="H634" i="1"/>
  <c r="G634" i="1"/>
  <c r="I633" i="1"/>
  <c r="H633" i="1"/>
  <c r="G633" i="1"/>
  <c r="I632" i="1"/>
  <c r="H632" i="1"/>
  <c r="G632" i="1"/>
  <c r="I631" i="1"/>
  <c r="H631" i="1"/>
  <c r="G631" i="1"/>
  <c r="I630" i="1"/>
  <c r="H630" i="1"/>
  <c r="G630" i="1"/>
  <c r="I629" i="1"/>
  <c r="H629" i="1"/>
  <c r="G629" i="1"/>
  <c r="I628" i="1"/>
  <c r="H628" i="1"/>
  <c r="G628" i="1"/>
  <c r="I627" i="1"/>
  <c r="H627" i="1"/>
  <c r="G627" i="1"/>
  <c r="I626" i="1"/>
  <c r="H626" i="1"/>
  <c r="G626" i="1"/>
  <c r="I625" i="1"/>
  <c r="H625" i="1"/>
  <c r="G625" i="1"/>
  <c r="I624" i="1"/>
  <c r="H624" i="1"/>
  <c r="G624" i="1"/>
  <c r="I623" i="1"/>
  <c r="H623" i="1"/>
  <c r="G623" i="1"/>
  <c r="I622" i="1"/>
  <c r="H622" i="1"/>
  <c r="G622" i="1"/>
  <c r="I621" i="1"/>
  <c r="H621" i="1"/>
  <c r="G621" i="1"/>
  <c r="I620" i="1"/>
  <c r="H620" i="1"/>
  <c r="G620" i="1"/>
  <c r="I619" i="1"/>
  <c r="H619" i="1"/>
  <c r="G619" i="1"/>
  <c r="I618" i="1"/>
  <c r="H618" i="1"/>
  <c r="G618" i="1"/>
  <c r="I617" i="1"/>
  <c r="H617" i="1"/>
  <c r="G617" i="1"/>
  <c r="I616" i="1"/>
  <c r="H616" i="1"/>
  <c r="G616" i="1"/>
  <c r="I615" i="1"/>
  <c r="H615" i="1"/>
  <c r="G615" i="1"/>
  <c r="I614" i="1"/>
  <c r="H614" i="1"/>
  <c r="G614" i="1"/>
  <c r="I613" i="1"/>
  <c r="H613" i="1"/>
  <c r="G613" i="1"/>
  <c r="I612" i="1"/>
  <c r="H612" i="1"/>
  <c r="G612" i="1"/>
  <c r="I611" i="1"/>
  <c r="H611" i="1"/>
  <c r="G611" i="1"/>
  <c r="I610" i="1"/>
  <c r="H610" i="1"/>
  <c r="G610" i="1"/>
  <c r="I609" i="1"/>
  <c r="H609" i="1"/>
  <c r="G609" i="1"/>
  <c r="I608" i="1"/>
  <c r="H608" i="1"/>
  <c r="G608" i="1"/>
  <c r="I607" i="1"/>
  <c r="H607" i="1"/>
  <c r="G607" i="1"/>
  <c r="I606" i="1"/>
  <c r="H606" i="1"/>
  <c r="G606" i="1"/>
  <c r="I605" i="1"/>
  <c r="H605" i="1"/>
  <c r="G605" i="1"/>
  <c r="I604" i="1"/>
  <c r="H604" i="1"/>
  <c r="G604" i="1"/>
  <c r="I603" i="1"/>
  <c r="H603" i="1"/>
  <c r="G603" i="1"/>
  <c r="I602" i="1"/>
  <c r="H602" i="1"/>
  <c r="G602" i="1"/>
  <c r="I601" i="1"/>
  <c r="H601" i="1"/>
  <c r="G601" i="1"/>
  <c r="I600" i="1"/>
  <c r="H600" i="1"/>
  <c r="G600" i="1"/>
  <c r="I599" i="1"/>
  <c r="H599" i="1"/>
  <c r="G599" i="1"/>
  <c r="I598" i="1"/>
  <c r="H598" i="1"/>
  <c r="G598" i="1"/>
  <c r="I597" i="1"/>
  <c r="H597" i="1"/>
  <c r="G597" i="1"/>
  <c r="I596" i="1"/>
  <c r="H596" i="1"/>
  <c r="G596" i="1"/>
  <c r="I595" i="1"/>
  <c r="H595" i="1"/>
  <c r="G595" i="1"/>
  <c r="I594" i="1"/>
  <c r="H594" i="1"/>
  <c r="G594" i="1"/>
  <c r="I593" i="1"/>
  <c r="H593" i="1"/>
  <c r="G593" i="1"/>
  <c r="I592" i="1"/>
  <c r="H592" i="1"/>
  <c r="G592" i="1"/>
  <c r="I591" i="1"/>
  <c r="H591" i="1"/>
  <c r="G591" i="1"/>
  <c r="I590" i="1"/>
  <c r="H590" i="1"/>
  <c r="G590" i="1"/>
  <c r="I589" i="1"/>
  <c r="H589" i="1"/>
  <c r="G589" i="1"/>
  <c r="I588" i="1"/>
  <c r="H588" i="1"/>
  <c r="G588" i="1"/>
  <c r="I587" i="1"/>
  <c r="H587" i="1"/>
  <c r="G587" i="1"/>
  <c r="I586" i="1"/>
  <c r="H586" i="1"/>
  <c r="G586" i="1"/>
  <c r="I585" i="1"/>
  <c r="H585" i="1"/>
  <c r="G585" i="1"/>
  <c r="I584" i="1"/>
  <c r="H584" i="1"/>
  <c r="G584" i="1"/>
  <c r="I583" i="1"/>
  <c r="H583" i="1"/>
  <c r="G583" i="1"/>
  <c r="I582" i="1"/>
  <c r="H582" i="1"/>
  <c r="G582" i="1"/>
  <c r="I581" i="1"/>
  <c r="H581" i="1"/>
  <c r="G581" i="1"/>
  <c r="I580" i="1"/>
  <c r="H580" i="1"/>
  <c r="G580" i="1"/>
  <c r="I579" i="1"/>
  <c r="H579" i="1"/>
  <c r="G579" i="1"/>
  <c r="I578" i="1"/>
  <c r="H578" i="1"/>
  <c r="G578" i="1"/>
  <c r="I577" i="1"/>
  <c r="H577" i="1"/>
  <c r="G577" i="1"/>
  <c r="I576" i="1"/>
  <c r="H576" i="1"/>
  <c r="G576" i="1"/>
  <c r="I575" i="1"/>
  <c r="H575" i="1"/>
  <c r="G575" i="1"/>
  <c r="I574" i="1"/>
  <c r="H574" i="1"/>
  <c r="G574" i="1"/>
  <c r="I573" i="1"/>
  <c r="H573" i="1"/>
  <c r="G573" i="1"/>
  <c r="I572" i="1"/>
  <c r="H572" i="1"/>
  <c r="G572" i="1"/>
  <c r="I571" i="1"/>
  <c r="H571" i="1"/>
  <c r="G571" i="1"/>
  <c r="I570" i="1"/>
  <c r="H570" i="1"/>
  <c r="G570" i="1"/>
  <c r="I569" i="1"/>
  <c r="H569" i="1"/>
  <c r="G569" i="1"/>
  <c r="I568" i="1"/>
  <c r="H568" i="1"/>
  <c r="G568" i="1"/>
  <c r="I567" i="1"/>
  <c r="H567" i="1"/>
  <c r="G567" i="1"/>
  <c r="I566" i="1"/>
  <c r="H566" i="1"/>
  <c r="G566" i="1"/>
  <c r="I565" i="1"/>
  <c r="H565" i="1"/>
  <c r="G565" i="1"/>
  <c r="I564" i="1"/>
  <c r="H564" i="1"/>
  <c r="G564" i="1"/>
  <c r="I563" i="1"/>
  <c r="H563" i="1"/>
  <c r="G563" i="1"/>
  <c r="I562" i="1"/>
  <c r="H562" i="1"/>
  <c r="G562" i="1"/>
  <c r="I561" i="1"/>
  <c r="H561" i="1"/>
  <c r="G561" i="1"/>
  <c r="I560" i="1"/>
  <c r="H560" i="1"/>
  <c r="G560" i="1"/>
  <c r="I559" i="1"/>
  <c r="H559" i="1"/>
  <c r="G559" i="1"/>
  <c r="I558" i="1"/>
  <c r="H558" i="1"/>
  <c r="G558" i="1"/>
  <c r="I557" i="1"/>
  <c r="H557" i="1"/>
  <c r="G557" i="1"/>
  <c r="I556" i="1"/>
  <c r="H556" i="1"/>
  <c r="G556" i="1"/>
  <c r="I555" i="1"/>
  <c r="H555" i="1"/>
  <c r="G555" i="1"/>
  <c r="I554" i="1"/>
  <c r="H554" i="1"/>
  <c r="G554" i="1"/>
  <c r="I553" i="1"/>
  <c r="H553" i="1"/>
  <c r="G553" i="1"/>
  <c r="I552" i="1"/>
  <c r="H552" i="1"/>
  <c r="G552" i="1"/>
  <c r="I551" i="1"/>
  <c r="H551" i="1"/>
  <c r="G551" i="1"/>
  <c r="I550" i="1"/>
  <c r="H550" i="1"/>
  <c r="G550" i="1"/>
  <c r="I549" i="1"/>
  <c r="H549" i="1"/>
  <c r="G549" i="1"/>
  <c r="I548" i="1"/>
  <c r="H548" i="1"/>
  <c r="G548" i="1"/>
  <c r="I547" i="1"/>
  <c r="H547" i="1"/>
  <c r="G547" i="1"/>
  <c r="I546" i="1"/>
  <c r="H546" i="1"/>
  <c r="G546" i="1"/>
  <c r="I545" i="1"/>
  <c r="H545" i="1"/>
  <c r="G545" i="1"/>
  <c r="I544" i="1"/>
  <c r="H544" i="1"/>
  <c r="G544" i="1"/>
  <c r="I543" i="1"/>
  <c r="H543" i="1"/>
  <c r="G543" i="1"/>
  <c r="I542" i="1"/>
  <c r="H542" i="1"/>
  <c r="G542" i="1"/>
  <c r="I541" i="1"/>
  <c r="H541" i="1"/>
  <c r="G541" i="1"/>
  <c r="I540" i="1"/>
  <c r="H540" i="1"/>
  <c r="G540" i="1"/>
  <c r="I539" i="1"/>
  <c r="H539" i="1"/>
  <c r="G539" i="1"/>
  <c r="I538" i="1"/>
  <c r="H538" i="1"/>
  <c r="G538" i="1"/>
  <c r="I537" i="1"/>
  <c r="H537" i="1"/>
  <c r="G537" i="1"/>
  <c r="I536" i="1"/>
  <c r="H536" i="1"/>
  <c r="G536" i="1"/>
  <c r="I535" i="1"/>
  <c r="H535" i="1"/>
  <c r="G535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I522" i="1"/>
  <c r="H522" i="1"/>
  <c r="G522" i="1"/>
  <c r="I521" i="1"/>
  <c r="H521" i="1"/>
  <c r="G521" i="1"/>
  <c r="I520" i="1"/>
  <c r="H520" i="1"/>
  <c r="G520" i="1"/>
  <c r="I519" i="1"/>
  <c r="H519" i="1"/>
  <c r="G519" i="1"/>
  <c r="I518" i="1"/>
  <c r="H518" i="1"/>
  <c r="G518" i="1"/>
  <c r="I517" i="1"/>
  <c r="H517" i="1"/>
  <c r="G517" i="1"/>
  <c r="I516" i="1"/>
  <c r="H516" i="1"/>
  <c r="G516" i="1"/>
  <c r="I515" i="1"/>
  <c r="H515" i="1"/>
  <c r="G515" i="1"/>
  <c r="I514" i="1"/>
  <c r="H514" i="1"/>
  <c r="G514" i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<sst xmlns="http://schemas.openxmlformats.org/spreadsheetml/2006/main" count="2634" uniqueCount="171">
  <si>
    <t>interpreter</t>
  </si>
  <si>
    <t>sample_id</t>
  </si>
  <si>
    <t>year_1</t>
  </si>
  <si>
    <t>year_2</t>
  </si>
  <si>
    <t>latitude_central</t>
  </si>
  <si>
    <t>longitude_central</t>
  </si>
  <si>
    <t>link_landsat_time_series</t>
  </si>
  <si>
    <t>link_landsat_chips</t>
  </si>
  <si>
    <t>link_wayback</t>
  </si>
  <si>
    <t>interpretation_is_change_type</t>
  </si>
  <si>
    <t>volume_change_type</t>
  </si>
  <si>
    <t>confidence level</t>
  </si>
  <si>
    <t>Note</t>
  </si>
  <si>
    <t>Hanwen</t>
  </si>
  <si>
    <t>IS expansion</t>
  </si>
  <si>
    <t>100%</t>
  </si>
  <si>
    <t>building expanded</t>
    <phoneticPr fontId="6" type="noConversion"/>
  </si>
  <si>
    <t>stable IS</t>
  </si>
  <si>
    <t>road</t>
    <phoneticPr fontId="6" type="noConversion"/>
  </si>
  <si>
    <t>stable natural</t>
  </si>
  <si>
    <t>forest</t>
    <phoneticPr fontId="6" type="noConversion"/>
  </si>
  <si>
    <t>IS intensification</t>
  </si>
  <si>
    <t xml:space="preserve">agriculture </t>
    <phoneticPr fontId="6" type="noConversion"/>
  </si>
  <si>
    <t xml:space="preserve">building </t>
    <phoneticPr fontId="6" type="noConversion"/>
  </si>
  <si>
    <t>75%</t>
  </si>
  <si>
    <t>surface modification</t>
  </si>
  <si>
    <t>no IS volume change</t>
  </si>
  <si>
    <t>IS reversal</t>
  </si>
  <si>
    <t>Desert</t>
    <phoneticPr fontId="6" type="noConversion"/>
  </si>
  <si>
    <t>house expanded</t>
    <phoneticPr fontId="6" type="noConversion"/>
  </si>
  <si>
    <t>desert</t>
    <phoneticPr fontId="6" type="noConversion"/>
  </si>
  <si>
    <t>50%</t>
  </si>
  <si>
    <t>not sure</t>
    <phoneticPr fontId="6" type="noConversion"/>
  </si>
  <si>
    <t>grassland</t>
    <phoneticPr fontId="6" type="noConversion"/>
  </si>
  <si>
    <t>exclude this sample</t>
  </si>
  <si>
    <t>IS volume decrease</t>
  </si>
  <si>
    <t>building</t>
    <phoneticPr fontId="6" type="noConversion"/>
  </si>
  <si>
    <t>road expanded</t>
    <phoneticPr fontId="6" type="noConversion"/>
  </si>
  <si>
    <t>house</t>
    <phoneticPr fontId="6" type="noConversion"/>
  </si>
  <si>
    <t>house and road</t>
    <phoneticPr fontId="6" type="noConversion"/>
  </si>
  <si>
    <t>IS volume increase</t>
  </si>
  <si>
    <t>lake</t>
    <phoneticPr fontId="6" type="noConversion"/>
  </si>
  <si>
    <t>house building</t>
    <phoneticPr fontId="6" type="noConversion"/>
  </si>
  <si>
    <t>ocean</t>
    <phoneticPr fontId="6" type="noConversion"/>
  </si>
  <si>
    <t>IS decline</t>
  </si>
  <si>
    <t>Ji Won</t>
  </si>
  <si>
    <t>stable barren</t>
  </si>
  <si>
    <t>stable cropland</t>
  </si>
  <si>
    <t>Increase ISP</t>
  </si>
  <si>
    <t>stable forest</t>
  </si>
  <si>
    <t>forest to grass</t>
  </si>
  <si>
    <t>no high resolution to confirm the ISP change</t>
  </si>
  <si>
    <t>road is exposed after tree cut</t>
  </si>
  <si>
    <t>barren --&gt; parking lot</t>
  </si>
  <si>
    <t>part of pixel includes barren --&gt; grass</t>
  </si>
  <si>
    <t>resurfacing aspalt in early 2004?</t>
  </si>
  <si>
    <t>&lt;50%</t>
  </si>
  <si>
    <t>road expanded?</t>
  </si>
  <si>
    <t>resurfacing aspalt</t>
  </si>
  <si>
    <t>new building</t>
  </si>
  <si>
    <t>resurfacing middle yellow line in the road</t>
  </si>
  <si>
    <t>forest -&gt; building</t>
  </si>
  <si>
    <t>stable IS?</t>
  </si>
  <si>
    <t>stable natural? Or stable IS? 1% of pixel is IS</t>
  </si>
  <si>
    <t>roof resurfacing happened between 2019-2022 based on google earth high resolution</t>
  </si>
  <si>
    <t>resurfacing roof</t>
  </si>
  <si>
    <t>correct from IS intensification to stable IS after group discussion</t>
  </si>
  <si>
    <t>resurfacing aslpalt</t>
  </si>
  <si>
    <t>IS built in 1997-1998, then TS signal changed due to resurfacing? Or intensification?</t>
  </si>
  <si>
    <t>building --&gt; grass</t>
  </si>
  <si>
    <t>building was demolished in 2017?</t>
  </si>
  <si>
    <t>roof is changed?</t>
  </si>
  <si>
    <t>sample boundary include very samll pieces of IS…</t>
  </si>
  <si>
    <t>crop land?</t>
  </si>
  <si>
    <t>Is this IS?</t>
  </si>
  <si>
    <t>Grassland expanded to a road</t>
    <phoneticPr fontId="6" type="noConversion"/>
  </si>
  <si>
    <t>Grass grows in the parking lot,NDVI increased slightly.</t>
    <phoneticPr fontId="6" type="noConversion"/>
  </si>
  <si>
    <t>Grassland expanded to a parking lot</t>
    <phoneticPr fontId="6" type="noConversion"/>
  </si>
  <si>
    <t>Lake</t>
    <phoneticPr fontId="6" type="noConversion"/>
  </si>
  <si>
    <t>Desert wasteland,no 2002-2003 image</t>
    <phoneticPr fontId="6" type="noConversion"/>
  </si>
  <si>
    <t>High DNVA level, Only a road across the forest</t>
    <phoneticPr fontId="6" type="noConversion"/>
  </si>
  <si>
    <t>Newly built houses</t>
    <phoneticPr fontId="6" type="noConversion"/>
  </si>
  <si>
    <t>Vacant lot, construction was completed in 2019</t>
    <phoneticPr fontId="6" type="noConversion"/>
  </si>
  <si>
    <t>Grassland and forest close to a house</t>
    <phoneticPr fontId="6" type="noConversion"/>
  </si>
  <si>
    <t>Road</t>
    <phoneticPr fontId="6" type="noConversion"/>
  </si>
  <si>
    <t>Road expanded</t>
    <phoneticPr fontId="6" type="noConversion"/>
  </si>
  <si>
    <t>Only a small part is a road</t>
    <phoneticPr fontId="6" type="noConversion"/>
  </si>
  <si>
    <t>Construction site not renovated until the end of 2020</t>
    <phoneticPr fontId="6" type="noConversion"/>
  </si>
  <si>
    <t>forest ahd grassland</t>
    <phoneticPr fontId="6" type="noConversion"/>
  </si>
  <si>
    <t>No image from 1992-2007</t>
    <phoneticPr fontId="6" type="noConversion"/>
  </si>
  <si>
    <t>building and parking lot</t>
    <phoneticPr fontId="6" type="noConversion"/>
  </si>
  <si>
    <t>Looks like a road but have high&amp;stable DNVI level</t>
    <phoneticPr fontId="6" type="noConversion"/>
  </si>
  <si>
    <t>half agriculture，half road</t>
    <phoneticPr fontId="6" type="noConversion"/>
  </si>
  <si>
    <t>football court and parking lot</t>
    <phoneticPr fontId="6" type="noConversion"/>
  </si>
  <si>
    <t>sea</t>
    <phoneticPr fontId="6" type="noConversion"/>
  </si>
  <si>
    <t>image is not clear before 1992</t>
    <phoneticPr fontId="6" type="noConversion"/>
  </si>
  <si>
    <t>deforestation</t>
  </si>
  <si>
    <t>parking lot</t>
    <phoneticPr fontId="6" type="noConversion"/>
  </si>
  <si>
    <t>label as stable natural after group discussion</t>
  </si>
  <si>
    <t>agriculture</t>
    <phoneticPr fontId="6" type="noConversion"/>
  </si>
  <si>
    <t>airport expanded</t>
    <phoneticPr fontId="6" type="noConversion"/>
  </si>
  <si>
    <t>NDVI increase, lack image</t>
    <phoneticPr fontId="6" type="noConversion"/>
  </si>
  <si>
    <t>Road, deforestration</t>
    <phoneticPr fontId="6" type="noConversion"/>
  </si>
  <si>
    <t xml:space="preserve">Grassland </t>
    <phoneticPr fontId="6" type="noConversion"/>
  </si>
  <si>
    <t>deforestation</t>
    <phoneticPr fontId="6" type="noConversion"/>
  </si>
  <si>
    <t>Roof color change</t>
    <phoneticPr fontId="6" type="noConversion"/>
  </si>
  <si>
    <t>concrete floor</t>
    <phoneticPr fontId="6" type="noConversion"/>
  </si>
  <si>
    <t>close to the building not sure</t>
    <phoneticPr fontId="6" type="noConversion"/>
  </si>
  <si>
    <t>Mountain</t>
    <phoneticPr fontId="6" type="noConversion"/>
  </si>
  <si>
    <t>Build a sports field</t>
    <phoneticPr fontId="6" type="noConversion"/>
  </si>
  <si>
    <t>Dirt road, not an asphalt road</t>
    <phoneticPr fontId="6" type="noConversion"/>
  </si>
  <si>
    <t>Not sure，deforestation，road</t>
    <phoneticPr fontId="6" type="noConversion"/>
  </si>
  <si>
    <t>deforestation, road</t>
    <phoneticPr fontId="6" type="noConversion"/>
  </si>
  <si>
    <t xml:space="preserve">airport </t>
    <phoneticPr fontId="6" type="noConversion"/>
  </si>
  <si>
    <t>building color change</t>
    <phoneticPr fontId="6" type="noConversion"/>
  </si>
  <si>
    <t>not sure,deforestation，road</t>
    <phoneticPr fontId="6" type="noConversion"/>
  </si>
  <si>
    <t xml:space="preserve">Road </t>
    <phoneticPr fontId="6" type="noConversion"/>
  </si>
  <si>
    <t>Falu</t>
  </si>
  <si>
    <t>change from IS reversal to stable natural after groupd discussion; remove the building happened in 2009, so from 2010 to 2011, it's natural condition</t>
  </si>
  <si>
    <t>resurface parking lot</t>
  </si>
  <si>
    <t>no agreement on the pre-change condition, exclude the sample</t>
  </si>
  <si>
    <t>natural surface near the road</t>
  </si>
  <si>
    <t>change happened between 2000 and 2001, but no IS change</t>
  </si>
  <si>
    <t>removal of tree cover without IS area change</t>
  </si>
  <si>
    <t>remove the tree cover and mild IS decline</t>
  </si>
  <si>
    <t>demolish the building with a small proportion of road</t>
  </si>
  <si>
    <t>agriculture practice, IS included</t>
  </si>
  <si>
    <t>looks like deforestation induced IS expansion</t>
  </si>
  <si>
    <t>remove the above tree canopy</t>
  </si>
  <si>
    <t>resurface rooftop</t>
  </si>
  <si>
    <t>resurface the tennis court with IS area intensification</t>
  </si>
  <si>
    <t>slight IS under tree cover</t>
  </si>
  <si>
    <t>resurface road</t>
  </si>
  <si>
    <t>looks like road construction</t>
  </si>
  <si>
    <t>surface modification after group discussion</t>
  </si>
  <si>
    <t>from barren/shrub to cropland, not sure if the road is inside the pixel</t>
  </si>
  <si>
    <t>deforestation but the IS area does not change</t>
  </si>
  <si>
    <t>cropland to bare soil, no IS area change</t>
  </si>
  <si>
    <t>change from IS intensification to surface modification</t>
  </si>
  <si>
    <t>ask for comments. Deforestation first, then construction with greenspace</t>
  </si>
  <si>
    <t>maybe need to ask for comments</t>
  </si>
  <si>
    <t>deforestation without IS area change</t>
  </si>
  <si>
    <t>deforestation with IS area increase</t>
  </si>
  <si>
    <t>ask for comments. The geolocation of high-resolution image is not stable</t>
  </si>
  <si>
    <t>looks like grassland near the buildings</t>
  </si>
  <si>
    <t>ask for comments. Looks like from barren idle/unused land to grassland, then IS expansion</t>
  </si>
  <si>
    <t>expand the road</t>
  </si>
  <si>
    <t>not enough reference data to identify changes</t>
  </si>
  <si>
    <t>above tree cover removal</t>
  </si>
  <si>
    <t>looks like repainting rooftop</t>
  </si>
  <si>
    <t>looks it's not impervious surface</t>
  </si>
  <si>
    <t xml:space="preserve">ask for comment </t>
  </si>
  <si>
    <t>deforestation with road expansion</t>
  </si>
  <si>
    <t>road to airport</t>
  </si>
  <si>
    <t>near-by construction, but it's still natural surface</t>
  </si>
  <si>
    <t>interprete_is_change_type</t>
  </si>
  <si>
    <t>volume change</t>
  </si>
  <si>
    <t>IS change type</t>
  </si>
  <si>
    <t>Description</t>
  </si>
  <si>
    <t>Sub-types</t>
  </si>
  <si>
    <t>Stable natural surface</t>
  </si>
  <si>
    <t xml:space="preserve">Pixel contains 100% natural surface (i.e., ISP = 0) in the prior and after years. No impervious surface related changes happened. </t>
  </si>
  <si>
    <t>Stable IS</t>
  </si>
  <si>
    <t xml:space="preserve">Pixel contains impervious surface (ISP &gt; 0) and remain stable in the prior and after years. No surface change happened within the pixel. </t>
    <phoneticPr fontId="6" type="noConversion"/>
  </si>
  <si>
    <t>Pixel converts from natural surface (ISP = 0) to the status containing impervious surface (ISP &gt; 0).</t>
  </si>
  <si>
    <r>
      <t xml:space="preserve">Pixel experiencing impervious surface area </t>
    </r>
    <r>
      <rPr>
        <sz val="14"/>
        <color rgb="FFFF0000"/>
        <rFont val="Times New Roman"/>
        <family val="1"/>
      </rPr>
      <t>increases</t>
    </r>
    <r>
      <rPr>
        <sz val="14"/>
        <color theme="1"/>
        <rFont val="Times New Roman"/>
        <family val="1"/>
      </rPr>
      <t xml:space="preserve"> where both the pre-change and post-change states of the pixel contain impervious surface. The impervious surface area within the pixel is quantified based on the nadir-view, orthographic 2-dimensional footprint, regardless of its 3-dimensional structure.</t>
    </r>
  </si>
  <si>
    <r>
      <t xml:space="preserve">Pixel experiencing impervious surface area </t>
    </r>
    <r>
      <rPr>
        <sz val="14"/>
        <color rgb="FFFF0000"/>
        <rFont val="Times New Roman"/>
        <family val="1"/>
      </rPr>
      <t>decreases</t>
    </r>
    <r>
      <rPr>
        <sz val="14"/>
        <color theme="1"/>
        <rFont val="Times New Roman"/>
        <family val="1"/>
      </rPr>
      <t xml:space="preserve"> where both the pre-change and post-change states of the pixel contain impervious surface. The impervious surface area within the pixel is quantified based on the nadir-view, orthographic 2-dimensional footprint, regardless of its 3-dimensional structure.</t>
    </r>
    <phoneticPr fontId="6" type="noConversion"/>
  </si>
  <si>
    <t>Pixel converts from impervious surface (ISP &gt; 0) to natural surface (ISP = 0).</t>
  </si>
  <si>
    <t xml:space="preserve">Pixel containing impervious surface (ISP &gt;0) with surface change happening between the prior and after years. However, the impervious surface area within the pixel remains unchanged. Surface modification cases include: (1) surface material changes, such as resurface the parking lots, roads, and rooftops; (2) surface canopy or coverage changes, such as removal of tree cover above the IS  without changing the its area; (3) IS volume changes, such as constructing buildings on existing paved ground or adding additional floors to existing structures. </t>
  </si>
  <si>
    <t>(1) No IS volume change: such as surface material change or surface canopy change
(2) IS volume increase: such as constructing the buildings on the pre-existing paved ground
(3) IS volume decrease: such as demolishing buildings and converting the area into flat surfaces like cement parking lots</t>
  </si>
  <si>
    <t>exclude this sample due to insufficient information to determine the IS change type, such as the cases with limited availability of high-resolution reference imagery.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</si>
</sst>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49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9" fontId="7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zoomScale="85" zoomScaleNormal="85" workbookViewId="0">
      <pane ySplit="1" topLeftCell="A480" activePane="bottomLeft" state="frozen"/>
      <selection pane="bottomLeft" activeCell="A702" sqref="A702:XFD889"/>
    </sheetView>
  </sheetViews>
  <sheetFormatPr defaultColWidth="9.26953125" defaultRowHeight="14.5"/>
  <cols>
    <col min="1" max="1" width="14.81640625" style="1" customWidth="1"/>
    <col min="2" max="2" width="12.453125" style="1" customWidth="1"/>
    <col min="3" max="4" width="6.453125" style="1" bestFit="1" customWidth="1"/>
    <col min="5" max="5" width="14.1796875" style="1" bestFit="1" customWidth="1"/>
    <col min="6" max="6" width="15.453125" style="1" bestFit="1" customWidth="1"/>
    <col min="7" max="7" width="21.453125" style="1" bestFit="1" customWidth="1"/>
    <col min="8" max="8" width="16.1796875" style="1" bestFit="1" customWidth="1"/>
    <col min="9" max="9" width="12" style="1" customWidth="1"/>
    <col min="10" max="10" width="26.1796875" style="9" customWidth="1"/>
    <col min="11" max="11" width="27.453125" style="9" customWidth="1"/>
    <col min="12" max="12" width="22.453125" style="9" customWidth="1"/>
    <col min="13" max="13" width="46.1796875" style="9" customWidth="1"/>
    <col min="14" max="14" width="51.1796875" style="1" customWidth="1"/>
    <col min="15" max="16384" width="9.269531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1</v>
      </c>
      <c r="C2" s="1">
        <v>2012</v>
      </c>
      <c r="D2" s="1">
        <v>2013</v>
      </c>
      <c r="E2" s="1">
        <v>28.888303181318499</v>
      </c>
      <c r="F2" s="1">
        <v>-96.840005290576585</v>
      </c>
      <c r="G2" s="4" t="str">
        <f>HYPERLINK(CONCATENATE("https://ee-faluhong.projects.earthengine.app/view/isp-ts-evaluation#id=1 2012-&gt;2013;lat=28.8883031813185;lon=-96.84000529057658;year=2012;bf=7;level=18;"), "landsat_time_series")</f>
        <v>landsat_time_series</v>
      </c>
      <c r="H2" s="4" t="str">
        <f>HYPERLINK(CONCATENATE("https://jstnbraaten.users.earthengine.app/view/landsat-timeseries-explorer#run=true;lon=-96.84000529057658;lat=28.8883031813185;from=01-01;to=12-31;index=NDVI;rgb=NIR%2FRED%2FGREEN;chipwidth=1;"), "landsat_chips")</f>
        <v>landsat_chips</v>
      </c>
      <c r="I2" s="4" t="str">
        <f>HYPERLINK(CONCATENATE("https://livingatlas.arcgis.com/wayback/#ext=-96.84100529057659,28.8893031813185,-96.83900529057658,28.887303181318497"), "wayback")</f>
        <v>wayback</v>
      </c>
      <c r="J2" s="9" t="s">
        <v>14</v>
      </c>
      <c r="L2" s="9" t="s">
        <v>15</v>
      </c>
      <c r="M2" s="9" t="s">
        <v>16</v>
      </c>
    </row>
    <row r="3" spans="1:13">
      <c r="A3" s="1" t="s">
        <v>13</v>
      </c>
      <c r="B3" s="1">
        <v>2</v>
      </c>
      <c r="C3" s="1">
        <v>2009</v>
      </c>
      <c r="D3" s="1">
        <v>2010</v>
      </c>
      <c r="E3" s="1">
        <v>48.513394745657251</v>
      </c>
      <c r="F3" s="1">
        <v>-97.880501122811268</v>
      </c>
      <c r="G3" s="4" t="str">
        <f>HYPERLINK(CONCATENATE("https://ee-faluhong.projects.earthengine.app/view/isp-ts-evaluation#id=2 2009-&gt;2010;lat=48.51339474565725;lon=-97.88050112281127;year=2009;bf=7;level=18;"), "landsat_time_series")</f>
        <v>landsat_time_series</v>
      </c>
      <c r="H3" s="4" t="str">
        <f>HYPERLINK(CONCATENATE("https://jstnbraaten.users.earthengine.app/view/landsat-timeseries-explorer#run=true;lon=-97.88050112281127;lat=48.51339474565725;from=01-01;to=12-31;index=NDVI;rgb=NIR%2FRED%2FGREEN;chipwidth=1;"), "landsat_chips")</f>
        <v>landsat_chips</v>
      </c>
      <c r="I3" s="4" t="str">
        <f>HYPERLINK(CONCATENATE("https://livingatlas.arcgis.com/wayback/#ext=-97.88150112281127,48.51439474565725,-97.87950112281126,48.512394745657254"), "wayback")</f>
        <v>wayback</v>
      </c>
      <c r="J3" s="9" t="s">
        <v>17</v>
      </c>
      <c r="L3" s="9" t="s">
        <v>15</v>
      </c>
      <c r="M3" s="9" t="s">
        <v>18</v>
      </c>
    </row>
    <row r="4" spans="1:13">
      <c r="A4" s="1" t="s">
        <v>13</v>
      </c>
      <c r="B4" s="1">
        <v>3</v>
      </c>
      <c r="C4" s="1">
        <v>2003</v>
      </c>
      <c r="D4" s="1">
        <v>2004</v>
      </c>
      <c r="E4" s="1">
        <v>28.001725957694511</v>
      </c>
      <c r="F4" s="1">
        <v>-80.828446045723567</v>
      </c>
      <c r="G4" s="4" t="str">
        <f>HYPERLINK(CONCATENATE("https://ee-faluhong.projects.earthengine.app/view/isp-ts-evaluation#id=3 2003-&gt;2004;lat=28.00172595769451;lon=-80.82844604572357;year=2003;bf=7;level=18;"), "landsat_time_series")</f>
        <v>landsat_time_series</v>
      </c>
      <c r="H4" s="4" t="str">
        <f>HYPERLINK(CONCATENATE("https://jstnbraaten.users.earthengine.app/view/landsat-timeseries-explorer#run=true;lon=-80.82844604572357;lat=28.00172595769451;from=01-01;to=12-31;index=NDVI;rgb=NIR%2FRED%2FGREEN;chipwidth=1;"), "landsat_chips")</f>
        <v>landsat_chips</v>
      </c>
      <c r="I4" s="4" t="str">
        <f>HYPERLINK(CONCATENATE("https://livingatlas.arcgis.com/wayback/#ext=-80.82944604572357,28.002725957694512,-80.82744604572356,28.00072595769451"), "wayback")</f>
        <v>wayback</v>
      </c>
      <c r="J4" s="9" t="s">
        <v>19</v>
      </c>
      <c r="L4" s="9" t="s">
        <v>15</v>
      </c>
      <c r="M4" s="9" t="s">
        <v>20</v>
      </c>
    </row>
    <row r="5" spans="1:13">
      <c r="A5" s="1" t="s">
        <v>13</v>
      </c>
      <c r="B5" s="1">
        <v>4</v>
      </c>
      <c r="C5" s="1">
        <v>2003</v>
      </c>
      <c r="D5" s="1">
        <v>2004</v>
      </c>
      <c r="E5" s="1">
        <v>33.652089137316402</v>
      </c>
      <c r="F5" s="1">
        <v>-84.562343487708659</v>
      </c>
      <c r="G5" s="4" t="str">
        <f>HYPERLINK(CONCATENATE("https://ee-faluhong.projects.earthengine.app/view/isp-ts-evaluation#id=4 2003-&gt;2004;lat=33.6520891373164;lon=-84.56234348770866;year=2003;bf=7;level=18;"), "landsat_time_series")</f>
        <v>landsat_time_series</v>
      </c>
      <c r="H5" s="4" t="str">
        <f>HYPERLINK(CONCATENATE("https://jstnbraaten.users.earthengine.app/view/landsat-timeseries-explorer#run=true;lon=-84.56234348770866;lat=33.6520891373164;from=01-01;to=12-31;index=NDVI;rgb=NIR%2FRED%2FGREEN;chipwidth=1;"), "landsat_chips")</f>
        <v>landsat_chips</v>
      </c>
      <c r="I5" s="4" t="str">
        <f>HYPERLINK(CONCATENATE("https://livingatlas.arcgis.com/wayback/#ext=-84.56334348770866,33.6530891373164,-84.56134348770865,33.651089137316404"), "wayback")</f>
        <v>wayback</v>
      </c>
      <c r="J5" s="9" t="s">
        <v>21</v>
      </c>
      <c r="L5" s="9" t="s">
        <v>15</v>
      </c>
      <c r="M5" s="9" t="s">
        <v>18</v>
      </c>
    </row>
    <row r="6" spans="1:13">
      <c r="A6" s="1" t="s">
        <v>13</v>
      </c>
      <c r="B6" s="1">
        <v>5</v>
      </c>
      <c r="C6" s="1">
        <v>2011</v>
      </c>
      <c r="D6" s="1">
        <v>2012</v>
      </c>
      <c r="E6" s="1">
        <v>48.119225222718761</v>
      </c>
      <c r="F6" s="1">
        <v>-111.5144476739132</v>
      </c>
      <c r="G6" s="4" t="str">
        <f>HYPERLINK(CONCATENATE("https://ee-faluhong.projects.earthengine.app/view/isp-ts-evaluation#id=5 2011-&gt;2012;lat=48.11922522271876;lon=-111.5144476739132;year=2011;bf=7;level=18;"), "landsat_time_series")</f>
        <v>landsat_time_series</v>
      </c>
      <c r="H6" s="4" t="str">
        <f>HYPERLINK(CONCATENATE("https://jstnbraaten.users.earthengine.app/view/landsat-timeseries-explorer#run=true;lon=-111.5144476739132;lat=48.11922522271876;from=01-01;to=12-31;index=NDVI;rgb=NIR%2FRED%2FGREEN;chipwidth=1;"), "landsat_chips")</f>
        <v>landsat_chips</v>
      </c>
      <c r="I6" s="4" t="str">
        <f>HYPERLINK(CONCATENATE("https://livingatlas.arcgis.com/wayback/#ext=-111.5154476739132,48.12022522271876,-111.51344767391319,48.11822522271876"), "wayback")</f>
        <v>wayback</v>
      </c>
      <c r="J6" s="9" t="s">
        <v>19</v>
      </c>
      <c r="L6" s="9" t="s">
        <v>15</v>
      </c>
      <c r="M6" s="9" t="s">
        <v>22</v>
      </c>
    </row>
    <row r="7" spans="1:13">
      <c r="A7" s="1" t="s">
        <v>13</v>
      </c>
      <c r="B7" s="1">
        <v>6</v>
      </c>
      <c r="C7" s="1">
        <v>2015</v>
      </c>
      <c r="D7" s="1">
        <v>2016</v>
      </c>
      <c r="E7" s="1">
        <v>39.670626087698253</v>
      </c>
      <c r="F7" s="1">
        <v>-105.0938736445985</v>
      </c>
      <c r="G7" s="4" t="str">
        <f>HYPERLINK(CONCATENATE("https://ee-faluhong.projects.earthengine.app/view/isp-ts-evaluation#id=6 2015-&gt;2016;lat=39.67062608769825;lon=-105.0938736445985;year=2015;bf=7;level=18;"), "landsat_time_series")</f>
        <v>landsat_time_series</v>
      </c>
      <c r="H7" s="4" t="str">
        <f>HYPERLINK(CONCATENATE("https://jstnbraaten.users.earthengine.app/view/landsat-timeseries-explorer#run=true;lon=-105.0938736445985;lat=39.67062608769825;from=01-01;to=12-31;index=NDVI;rgb=NIR%2FRED%2FGREEN;chipwidth=1;"), "landsat_chips")</f>
        <v>landsat_chips</v>
      </c>
      <c r="I7" s="4" t="str">
        <f>HYPERLINK(CONCATENATE("https://livingatlas.arcgis.com/wayback/#ext=-105.09487364459851,39.67162608769825,-105.0928736445985,39.669626087698255"), "wayback")</f>
        <v>wayback</v>
      </c>
      <c r="J7" s="9" t="s">
        <v>17</v>
      </c>
      <c r="L7" s="9" t="s">
        <v>15</v>
      </c>
      <c r="M7" s="9" t="s">
        <v>23</v>
      </c>
    </row>
    <row r="8" spans="1:13">
      <c r="A8" s="1" t="s">
        <v>13</v>
      </c>
      <c r="B8" s="1">
        <v>7</v>
      </c>
      <c r="C8" s="1">
        <v>2009</v>
      </c>
      <c r="D8" s="1">
        <v>2010</v>
      </c>
      <c r="E8" s="1">
        <v>41.124804335876433</v>
      </c>
      <c r="F8" s="1">
        <v>-83.956176226352056</v>
      </c>
      <c r="G8" s="4" t="str">
        <f>HYPERLINK(CONCATENATE("https://ee-faluhong.projects.earthengine.app/view/isp-ts-evaluation#id=7 2009-&gt;2010;lat=41.12480433587643;lon=-83.95617622635206;year=2009;bf=7;level=18;"), "landsat_time_series")</f>
        <v>landsat_time_series</v>
      </c>
      <c r="H8" s="4" t="str">
        <f>HYPERLINK(CONCATENATE("https://jstnbraaten.users.earthengine.app/view/landsat-timeseries-explorer#run=true;lon=-83.95617622635206;lat=41.12480433587643;from=01-01;to=12-31;index=NDVI;rgb=NIR%2FRED%2FGREEN;chipwidth=1;"), "landsat_chips")</f>
        <v>landsat_chips</v>
      </c>
      <c r="I8" s="4" t="str">
        <f>HYPERLINK(CONCATENATE("https://livingatlas.arcgis.com/wayback/#ext=-83.95717622635206,41.12580433587643,-83.95517622635205,41.123804335876436"), "wayback")</f>
        <v>wayback</v>
      </c>
      <c r="J8" s="9" t="s">
        <v>21</v>
      </c>
      <c r="L8" s="9" t="s">
        <v>15</v>
      </c>
      <c r="M8" s="9" t="s">
        <v>23</v>
      </c>
    </row>
    <row r="9" spans="1:13">
      <c r="A9" s="1" t="s">
        <v>13</v>
      </c>
      <c r="B9" s="1">
        <v>8</v>
      </c>
      <c r="C9" s="1">
        <v>2000</v>
      </c>
      <c r="D9" s="1">
        <v>2001</v>
      </c>
      <c r="E9" s="1">
        <v>32.412547929857162</v>
      </c>
      <c r="F9" s="1">
        <v>-90.013266894786454</v>
      </c>
      <c r="G9" s="4" t="str">
        <f>HYPERLINK(CONCATENATE("https://ee-faluhong.projects.earthengine.app/view/isp-ts-evaluation#id=8 2000-&gt;2001;lat=32.41254792985716;lon=-90.01326689478645;year=2000;bf=7;level=18;"), "landsat_time_series")</f>
        <v>landsat_time_series</v>
      </c>
      <c r="H9" s="4" t="str">
        <f>HYPERLINK(CONCATENATE("https://jstnbraaten.users.earthengine.app/view/landsat-timeseries-explorer#run=true;lon=-90.01326689478645;lat=32.41254792985716;from=01-01;to=12-31;index=NDVI;rgb=NIR%2FRED%2FGREEN;chipwidth=1;"), "landsat_chips")</f>
        <v>landsat_chips</v>
      </c>
      <c r="I9" s="4" t="str">
        <f>HYPERLINK(CONCATENATE("https://livingatlas.arcgis.com/wayback/#ext=-90.01426689478646,32.41354792985716,-90.01226689478645,32.411547929857164"), "wayback")</f>
        <v>wayback</v>
      </c>
      <c r="J9" s="9" t="s">
        <v>14</v>
      </c>
      <c r="L9" s="9" t="s">
        <v>24</v>
      </c>
      <c r="M9" s="9" t="s">
        <v>18</v>
      </c>
    </row>
    <row r="10" spans="1:13">
      <c r="A10" s="1" t="s">
        <v>13</v>
      </c>
      <c r="B10" s="1">
        <v>9</v>
      </c>
      <c r="C10" s="1">
        <v>2009</v>
      </c>
      <c r="D10" s="1">
        <v>2010</v>
      </c>
      <c r="E10" s="1">
        <v>31.018041062190239</v>
      </c>
      <c r="F10" s="1">
        <v>-94.116223237302762</v>
      </c>
      <c r="G10" s="4" t="str">
        <f>HYPERLINK(CONCATENATE("https://ee-faluhong.projects.earthengine.app/view/isp-ts-evaluation#id=9 2009-&gt;2010;lat=31.01804106219024;lon=-94.11622323730276;year=2009;bf=7;level=18;"), "landsat_time_series")</f>
        <v>landsat_time_series</v>
      </c>
      <c r="H10" s="4" t="str">
        <f>HYPERLINK(CONCATENATE("https://jstnbraaten.users.earthengine.app/view/landsat-timeseries-explorer#run=true;lon=-94.11622323730276;lat=31.01804106219024;from=01-01;to=12-31;index=NDVI;rgb=NIR%2FRED%2FGREEN;chipwidth=1;"), "landsat_chips")</f>
        <v>landsat_chips</v>
      </c>
      <c r="I10" s="4" t="str">
        <f>HYPERLINK(CONCATENATE("https://livingatlas.arcgis.com/wayback/#ext=-94.11722323730277,31.01904106219024,-94.11522323730276,31.017041062190238"), "wayback")</f>
        <v>wayback</v>
      </c>
      <c r="J10" s="9" t="s">
        <v>25</v>
      </c>
      <c r="K10" s="9" t="s">
        <v>26</v>
      </c>
      <c r="L10" s="9" t="s">
        <v>15</v>
      </c>
      <c r="M10" s="9" t="s">
        <v>18</v>
      </c>
    </row>
    <row r="11" spans="1:13">
      <c r="A11" s="1" t="s">
        <v>13</v>
      </c>
      <c r="B11" s="1">
        <v>10</v>
      </c>
      <c r="C11" s="1">
        <v>2007</v>
      </c>
      <c r="D11" s="1">
        <v>2008</v>
      </c>
      <c r="E11" s="1">
        <v>40.581756034629137</v>
      </c>
      <c r="F11" s="1">
        <v>-83.091017961346495</v>
      </c>
      <c r="G11" s="4" t="str">
        <f>HYPERLINK(CONCATENATE("https://ee-faluhong.projects.earthengine.app/view/isp-ts-evaluation#id=10 2007-&gt;2008;lat=40.58175603462914;lon=-83.0910179613465;year=2007;bf=7;level=18;"), "landsat_time_series")</f>
        <v>landsat_time_series</v>
      </c>
      <c r="H11" s="4" t="str">
        <f>HYPERLINK(CONCATENATE("https://jstnbraaten.users.earthengine.app/view/landsat-timeseries-explorer#run=true;lon=-83.0910179613465;lat=40.58175603462914;from=01-01;to=12-31;index=NDVI;rgb=NIR%2FRED%2FGREEN;chipwidth=1;"), "landsat_chips")</f>
        <v>landsat_chips</v>
      </c>
      <c r="I11" s="4" t="str">
        <f>HYPERLINK(CONCATENATE("https://livingatlas.arcgis.com/wayback/#ext=-83.0920179613465,40.582756034629135,-83.09001796134649,40.58075603462914"), "wayback")</f>
        <v>wayback</v>
      </c>
      <c r="J11" s="9" t="s">
        <v>27</v>
      </c>
      <c r="L11" s="9" t="s">
        <v>15</v>
      </c>
      <c r="M11" s="9" t="s">
        <v>28</v>
      </c>
    </row>
    <row r="12" spans="1:13">
      <c r="A12" s="1" t="s">
        <v>13</v>
      </c>
      <c r="B12" s="1">
        <v>11</v>
      </c>
      <c r="C12" s="1">
        <v>2009</v>
      </c>
      <c r="D12" s="1">
        <v>2010</v>
      </c>
      <c r="E12" s="1">
        <v>39.768255346058233</v>
      </c>
      <c r="F12" s="1">
        <v>-108.2229562191972</v>
      </c>
      <c r="G12" s="4" t="str">
        <f>HYPERLINK(CONCATENATE("https://ee-faluhong.projects.earthengine.app/view/isp-ts-evaluation#id=11 2009-&gt;2010;lat=39.76825534605823;lon=-108.2229562191972;year=2009;bf=7;level=18;"), "landsat_time_series")</f>
        <v>landsat_time_series</v>
      </c>
      <c r="H12" s="4" t="str">
        <f>HYPERLINK(CONCATENATE("https://jstnbraaten.users.earthengine.app/view/landsat-timeseries-explorer#run=true;lon=-108.2229562191972;lat=39.76825534605823;from=01-01;to=12-31;index=NDVI;rgb=NIR%2FRED%2FGREEN;chipwidth=1;"), "landsat_chips")</f>
        <v>landsat_chips</v>
      </c>
      <c r="I12" s="4" t="str">
        <f>HYPERLINK(CONCATENATE("https://livingatlas.arcgis.com/wayback/#ext=-108.2239562191972,39.76925534605823,-108.2219562191972,39.767255346058235"), "wayback")</f>
        <v>wayback</v>
      </c>
      <c r="J12" s="9" t="s">
        <v>19</v>
      </c>
      <c r="L12" s="9" t="s">
        <v>15</v>
      </c>
      <c r="M12" s="9" t="s">
        <v>28</v>
      </c>
    </row>
    <row r="13" spans="1:13">
      <c r="A13" s="1" t="s">
        <v>13</v>
      </c>
      <c r="B13" s="1">
        <v>12</v>
      </c>
      <c r="C13" s="1">
        <v>2008</v>
      </c>
      <c r="D13" s="1">
        <v>2009</v>
      </c>
      <c r="E13" s="1">
        <v>31.308828531953729</v>
      </c>
      <c r="F13" s="1">
        <v>-85.84163746156122</v>
      </c>
      <c r="G13" s="4" t="str">
        <f>HYPERLINK(CONCATENATE("https://ee-faluhong.projects.earthengine.app/view/isp-ts-evaluation#id=12 2008-&gt;2009;lat=31.30882853195373;lon=-85.84163746156122;year=2008;bf=7;level=18;"), "landsat_time_series")</f>
        <v>landsat_time_series</v>
      </c>
      <c r="H13" s="4" t="str">
        <f>HYPERLINK(CONCATENATE("https://jstnbraaten.users.earthengine.app/view/landsat-timeseries-explorer#run=true;lon=-85.84163746156122;lat=31.30882853195373;from=01-01;to=12-31;index=NDVI;rgb=NIR%2FRED%2FGREEN;chipwidth=1;"), "landsat_chips")</f>
        <v>landsat_chips</v>
      </c>
      <c r="I13" s="4" t="str">
        <f>HYPERLINK(CONCATENATE("https://livingatlas.arcgis.com/wayback/#ext=-85.84263746156122,31.30982853195373,-85.84063746156122,31.307828531953728"), "wayback")</f>
        <v>wayback</v>
      </c>
      <c r="J13" s="9" t="s">
        <v>21</v>
      </c>
      <c r="L13" s="9" t="s">
        <v>24</v>
      </c>
      <c r="M13" s="9" t="s">
        <v>29</v>
      </c>
    </row>
    <row r="14" spans="1:13">
      <c r="A14" s="1" t="s">
        <v>13</v>
      </c>
      <c r="B14" s="1">
        <v>13</v>
      </c>
      <c r="C14" s="1">
        <v>2017</v>
      </c>
      <c r="D14" s="1">
        <v>2018</v>
      </c>
      <c r="E14" s="1">
        <v>38.274379658317613</v>
      </c>
      <c r="F14" s="1">
        <v>-94.108294749378658</v>
      </c>
      <c r="G14" s="4" t="str">
        <f>HYPERLINK(CONCATENATE("https://ee-faluhong.projects.earthengine.app/view/isp-ts-evaluation#id=13 2017-&gt;2018;lat=38.27437965831761;lon=-94.10829474937866;year=2017;bf=7;level=18;"), "landsat_time_series")</f>
        <v>landsat_time_series</v>
      </c>
      <c r="H14" s="4" t="str">
        <f>HYPERLINK(CONCATENATE("https://jstnbraaten.users.earthengine.app/view/landsat-timeseries-explorer#run=true;lon=-94.10829474937866;lat=38.27437965831761;from=01-01;to=12-31;index=NDVI;rgb=NIR%2FRED%2FGREEN;chipwidth=1;"), "landsat_chips")</f>
        <v>landsat_chips</v>
      </c>
      <c r="I14" s="4" t="str">
        <f>HYPERLINK(CONCATENATE("https://livingatlas.arcgis.com/wayback/#ext=-94.10929474937866,38.27537965831761,-94.10729474937865,38.273379658317616"), "wayback")</f>
        <v>wayback</v>
      </c>
      <c r="J14" s="9" t="s">
        <v>19</v>
      </c>
      <c r="L14" s="9" t="s">
        <v>15</v>
      </c>
      <c r="M14" s="9" t="s">
        <v>22</v>
      </c>
    </row>
    <row r="15" spans="1:13">
      <c r="A15" s="1" t="s">
        <v>13</v>
      </c>
      <c r="B15" s="1">
        <v>14</v>
      </c>
      <c r="C15" s="1">
        <v>2016</v>
      </c>
      <c r="D15" s="1">
        <v>2017</v>
      </c>
      <c r="E15" s="1">
        <v>42.904945435335797</v>
      </c>
      <c r="F15" s="1">
        <v>-116.220787362766</v>
      </c>
      <c r="G15" s="4" t="str">
        <f>HYPERLINK(CONCATENATE("https://ee-faluhong.projects.earthengine.app/view/isp-ts-evaluation#id=14 2016-&gt;2017;lat=42.9049454353358;lon=-116.220787362766;year=2016;bf=7;level=18;"), "landsat_time_series")</f>
        <v>landsat_time_series</v>
      </c>
      <c r="H15" s="4" t="str">
        <f>HYPERLINK(CONCATENATE("https://jstnbraaten.users.earthengine.app/view/landsat-timeseries-explorer#run=true;lon=-116.220787362766;lat=42.9049454353358;from=01-01;to=12-31;index=NDVI;rgb=NIR%2FRED%2FGREEN;chipwidth=1;"), "landsat_chips")</f>
        <v>landsat_chips</v>
      </c>
      <c r="I15" s="4" t="str">
        <f>HYPERLINK(CONCATENATE("https://livingatlas.arcgis.com/wayback/#ext=-116.22178736276601,42.905945435335795,-116.219787362766,42.9039454353358"), "wayback")</f>
        <v>wayback</v>
      </c>
      <c r="J15" s="9" t="s">
        <v>19</v>
      </c>
      <c r="L15" s="9" t="s">
        <v>15</v>
      </c>
      <c r="M15" s="9" t="s">
        <v>30</v>
      </c>
    </row>
    <row r="16" spans="1:13">
      <c r="A16" s="1" t="s">
        <v>13</v>
      </c>
      <c r="B16" s="1">
        <v>15</v>
      </c>
      <c r="C16" s="1">
        <v>2006</v>
      </c>
      <c r="D16" s="1">
        <v>2007</v>
      </c>
      <c r="E16" s="1">
        <v>29.04855696738603</v>
      </c>
      <c r="F16" s="1">
        <v>-82.084964172948673</v>
      </c>
      <c r="G16" s="4" t="str">
        <f>HYPERLINK(CONCATENATE("https://ee-faluhong.projects.earthengine.app/view/isp-ts-evaluation#id=15 2006-&gt;2007;lat=29.04855696738603;lon=-82.08496417294867;year=2006;bf=7;level=18;"), "landsat_time_series")</f>
        <v>landsat_time_series</v>
      </c>
      <c r="H16" s="4" t="str">
        <f>HYPERLINK(CONCATENATE("https://jstnbraaten.users.earthengine.app/view/landsat-timeseries-explorer#run=true;lon=-82.08496417294867;lat=29.04855696738603;from=01-01;to=12-31;index=NDVI;rgb=NIR%2FRED%2FGREEN;chipwidth=1;"), "landsat_chips")</f>
        <v>landsat_chips</v>
      </c>
      <c r="I16" s="4" t="str">
        <f>HYPERLINK(CONCATENATE("https://livingatlas.arcgis.com/wayback/#ext=-82.08596417294868,29.04955696738603,-82.08396417294867,29.04755696738603"), "wayback")</f>
        <v>wayback</v>
      </c>
      <c r="J16" s="9" t="s">
        <v>17</v>
      </c>
      <c r="L16" s="9" t="s">
        <v>15</v>
      </c>
      <c r="M16" s="9" t="s">
        <v>18</v>
      </c>
    </row>
    <row r="17" spans="1:13">
      <c r="A17" s="1" t="s">
        <v>13</v>
      </c>
      <c r="B17" s="1">
        <v>16</v>
      </c>
      <c r="C17" s="1">
        <v>2014</v>
      </c>
      <c r="D17" s="1">
        <v>2015</v>
      </c>
      <c r="E17" s="1">
        <v>34.264945933543252</v>
      </c>
      <c r="F17" s="1">
        <v>-84.514360649690417</v>
      </c>
      <c r="G17" s="4" t="str">
        <f>HYPERLINK(CONCATENATE("https://ee-faluhong.projects.earthengine.app/view/isp-ts-evaluation#id=16 2014-&gt;2015;lat=34.26494593354325;lon=-84.51436064969042;year=2014;bf=7;level=18;"), "landsat_time_series")</f>
        <v>landsat_time_series</v>
      </c>
      <c r="H17" s="4" t="str">
        <f>HYPERLINK(CONCATENATE("https://jstnbraaten.users.earthengine.app/view/landsat-timeseries-explorer#run=true;lon=-84.51436064969042;lat=34.26494593354325;from=01-01;to=12-31;index=NDVI;rgb=NIR%2FRED%2FGREEN;chipwidth=1;"), "landsat_chips")</f>
        <v>landsat_chips</v>
      </c>
      <c r="I17" s="4" t="str">
        <f>HYPERLINK(CONCATENATE("https://livingatlas.arcgis.com/wayback/#ext=-84.51536064969042,34.26594593354325,-84.51336064969041,34.263945933543255"), "wayback")</f>
        <v>wayback</v>
      </c>
      <c r="J17" s="9" t="s">
        <v>14</v>
      </c>
      <c r="L17" s="9" t="s">
        <v>15</v>
      </c>
      <c r="M17" s="9" t="s">
        <v>18</v>
      </c>
    </row>
    <row r="18" spans="1:13">
      <c r="A18" s="1" t="s">
        <v>13</v>
      </c>
      <c r="B18" s="1">
        <v>17</v>
      </c>
      <c r="C18" s="1">
        <v>2006</v>
      </c>
      <c r="D18" s="1">
        <v>2007</v>
      </c>
      <c r="E18" s="1">
        <v>30.48608039161596</v>
      </c>
      <c r="F18" s="1">
        <v>-90.875450975053042</v>
      </c>
      <c r="G18" s="4" t="str">
        <f>HYPERLINK(CONCATENATE("https://ee-faluhong.projects.earthengine.app/view/isp-ts-evaluation#id=17 2006-&gt;2007;lat=30.48608039161596;lon=-90.87545097505304;year=2006;bf=7;level=18;"), "landsat_time_series")</f>
        <v>landsat_time_series</v>
      </c>
      <c r="H18" s="4" t="str">
        <f>HYPERLINK(CONCATENATE("https://jstnbraaten.users.earthengine.app/view/landsat-timeseries-explorer#run=true;lon=-90.87545097505304;lat=30.48608039161596;from=01-01;to=12-31;index=NDVI;rgb=NIR%2FRED%2FGREEN;chipwidth=1;"), "landsat_chips")</f>
        <v>landsat_chips</v>
      </c>
      <c r="I18" s="4" t="str">
        <f>HYPERLINK(CONCATENATE("https://livingatlas.arcgis.com/wayback/#ext=-90.87645097505305,30.48708039161596,-90.87445097505304,30.48508039161596"), "wayback")</f>
        <v>wayback</v>
      </c>
      <c r="J18" s="9" t="s">
        <v>21</v>
      </c>
      <c r="L18" s="9" t="s">
        <v>15</v>
      </c>
      <c r="M18" s="9" t="s">
        <v>23</v>
      </c>
    </row>
    <row r="19" spans="1:13">
      <c r="A19" s="1" t="s">
        <v>13</v>
      </c>
      <c r="B19" s="1">
        <v>18</v>
      </c>
      <c r="C19" s="1">
        <v>2012</v>
      </c>
      <c r="D19" s="1">
        <v>2013</v>
      </c>
      <c r="E19" s="1">
        <v>35.129601472743687</v>
      </c>
      <c r="F19" s="1">
        <v>-101.88626729040639</v>
      </c>
      <c r="G19" s="4" t="str">
        <f>HYPERLINK(CONCATENATE("https://ee-faluhong.projects.earthengine.app/view/isp-ts-evaluation#id=18 2012-&gt;2013;lat=35.12960147274369;lon=-101.8862672904064;year=2012;bf=7;level=18;"), "landsat_time_series")</f>
        <v>landsat_time_series</v>
      </c>
      <c r="H19" s="4" t="str">
        <f>HYPERLINK(CONCATENATE("https://jstnbraaten.users.earthengine.app/view/landsat-timeseries-explorer#run=true;lon=-101.8862672904064;lat=35.12960147274369;from=01-01;to=12-31;index=NDVI;rgb=NIR%2FRED%2FGREEN;chipwidth=1;"), "landsat_chips")</f>
        <v>landsat_chips</v>
      </c>
      <c r="I19" s="4" t="str">
        <f>HYPERLINK(CONCATENATE("https://livingatlas.arcgis.com/wayback/#ext=-101.8872672904064,35.130601472743685,-101.88526729040639,35.12860147274369"), "wayback")</f>
        <v>wayback</v>
      </c>
      <c r="J19" s="9" t="s">
        <v>17</v>
      </c>
      <c r="L19" s="9" t="s">
        <v>31</v>
      </c>
      <c r="M19" s="9" t="s">
        <v>32</v>
      </c>
    </row>
    <row r="20" spans="1:13">
      <c r="A20" s="1" t="s">
        <v>13</v>
      </c>
      <c r="B20" s="1">
        <v>19</v>
      </c>
      <c r="C20" s="1">
        <v>2015</v>
      </c>
      <c r="D20" s="1">
        <v>2016</v>
      </c>
      <c r="E20" s="1">
        <v>43.683781955145889</v>
      </c>
      <c r="F20" s="1">
        <v>-70.338217571618202</v>
      </c>
      <c r="G20" s="4" t="str">
        <f>HYPERLINK(CONCATENATE("https://ee-faluhong.projects.earthengine.app/view/isp-ts-evaluation#id=19 2015-&gt;2016;lat=43.68378195514589;lon=-70.3382175716182;year=2015;bf=7;level=18;"), "landsat_time_series")</f>
        <v>landsat_time_series</v>
      </c>
      <c r="H20" s="4" t="str">
        <f>HYPERLINK(CONCATENATE("https://jstnbraaten.users.earthengine.app/view/landsat-timeseries-explorer#run=true;lon=-70.3382175716182;lat=43.68378195514589;from=01-01;to=12-31;index=NDVI;rgb=NIR%2FRED%2FGREEN;chipwidth=1;"), "landsat_chips")</f>
        <v>landsat_chips</v>
      </c>
      <c r="I20" s="4" t="str">
        <f>HYPERLINK(CONCATENATE("https://livingatlas.arcgis.com/wayback/#ext=-70.3392175716182,43.68478195514589,-70.3372175716182,43.68278195514589"), "wayback")</f>
        <v>wayback</v>
      </c>
      <c r="J20" s="9" t="s">
        <v>19</v>
      </c>
      <c r="L20" s="9" t="s">
        <v>15</v>
      </c>
      <c r="M20" s="9" t="s">
        <v>20</v>
      </c>
    </row>
    <row r="21" spans="1:13">
      <c r="A21" s="1" t="s">
        <v>13</v>
      </c>
      <c r="B21" s="1">
        <v>20</v>
      </c>
      <c r="C21" s="1">
        <v>2016</v>
      </c>
      <c r="D21" s="1">
        <v>2017</v>
      </c>
      <c r="E21" s="1">
        <v>42.501198579241183</v>
      </c>
      <c r="F21" s="1">
        <v>-115.0076805718429</v>
      </c>
      <c r="G21" s="4" t="str">
        <f>HYPERLINK(CONCATENATE("https://ee-faluhong.projects.earthengine.app/view/isp-ts-evaluation#id=20 2016-&gt;2017;lat=42.50119857924118;lon=-115.0076805718429;year=2016;bf=7;level=18;"), "landsat_time_series")</f>
        <v>landsat_time_series</v>
      </c>
      <c r="H21" s="4" t="str">
        <f>HYPERLINK(CONCATENATE("https://jstnbraaten.users.earthengine.app/view/landsat-timeseries-explorer#run=true;lon=-115.0076805718429;lat=42.50119857924118;from=01-01;to=12-31;index=NDVI;rgb=NIR%2FRED%2FGREEN;chipwidth=1;"), "landsat_chips")</f>
        <v>landsat_chips</v>
      </c>
      <c r="I21" s="4" t="str">
        <f>HYPERLINK(CONCATENATE("https://livingatlas.arcgis.com/wayback/#ext=-115.0086805718429,42.50219857924118,-115.00668057184289,42.500198579241186"), "wayback")</f>
        <v>wayback</v>
      </c>
      <c r="J21" s="9" t="s">
        <v>19</v>
      </c>
      <c r="L21" s="9" t="s">
        <v>15</v>
      </c>
      <c r="M21" s="9" t="s">
        <v>33</v>
      </c>
    </row>
    <row r="22" spans="1:13">
      <c r="A22" s="1" t="s">
        <v>13</v>
      </c>
      <c r="B22" s="1">
        <v>21</v>
      </c>
      <c r="C22" s="1">
        <v>2010</v>
      </c>
      <c r="D22" s="1">
        <v>2011</v>
      </c>
      <c r="E22" s="1">
        <v>29.17459616836992</v>
      </c>
      <c r="F22" s="1">
        <v>-82.659179779064488</v>
      </c>
      <c r="G22" s="4" t="str">
        <f>HYPERLINK(CONCATENATE("https://ee-faluhong.projects.earthengine.app/view/isp-ts-evaluation#id=21 2010-&gt;2011;lat=29.17459616836992;lon=-82.65917977906449;year=2010;bf=7;level=18;"), "landsat_time_series")</f>
        <v>landsat_time_series</v>
      </c>
      <c r="H22" s="4" t="str">
        <f>HYPERLINK(CONCATENATE("https://jstnbraaten.users.earthengine.app/view/landsat-timeseries-explorer#run=true;lon=-82.65917977906449;lat=29.17459616836992;from=01-01;to=12-31;index=NDVI;rgb=NIR%2FRED%2FGREEN;chipwidth=1;"), "landsat_chips")</f>
        <v>landsat_chips</v>
      </c>
      <c r="I22" s="4" t="str">
        <f>HYPERLINK(CONCATENATE("https://livingatlas.arcgis.com/wayback/#ext=-82.66017977906449,29.17559616836992,-82.65817977906448,29.17359616836992"), "wayback")</f>
        <v>wayback</v>
      </c>
      <c r="J22" s="9" t="s">
        <v>25</v>
      </c>
      <c r="K22" s="9" t="s">
        <v>26</v>
      </c>
      <c r="L22" s="9" t="s">
        <v>15</v>
      </c>
      <c r="M22" s="9" t="s">
        <v>18</v>
      </c>
    </row>
    <row r="23" spans="1:13">
      <c r="A23" s="1" t="s">
        <v>13</v>
      </c>
      <c r="B23" s="1">
        <v>22</v>
      </c>
      <c r="C23" s="1">
        <v>2012</v>
      </c>
      <c r="D23" s="1">
        <v>2013</v>
      </c>
      <c r="E23" s="1">
        <v>41.123459116512777</v>
      </c>
      <c r="F23" s="1">
        <v>-105.2951733609695</v>
      </c>
      <c r="G23" s="4" t="str">
        <f>HYPERLINK(CONCATENATE("https://ee-faluhong.projects.earthengine.app/view/isp-ts-evaluation#id=22 2012-&gt;2013;lat=41.12345911651278;lon=-105.2951733609695;year=2012;bf=7;level=18;"), "landsat_time_series")</f>
        <v>landsat_time_series</v>
      </c>
      <c r="H23" s="4" t="str">
        <f>HYPERLINK(CONCATENATE("https://jstnbraaten.users.earthengine.app/view/landsat-timeseries-explorer#run=true;lon=-105.2951733609695;lat=41.12345911651278;from=01-01;to=12-31;index=NDVI;rgb=NIR%2FRED%2FGREEN;chipwidth=1;"), "landsat_chips")</f>
        <v>landsat_chips</v>
      </c>
      <c r="I23" s="4" t="str">
        <f>HYPERLINK(CONCATENATE("https://livingatlas.arcgis.com/wayback/#ext=-105.2961733609695,41.124459116512774,-105.2941733609695,41.12245911651278"), "wayback")</f>
        <v>wayback</v>
      </c>
      <c r="J23" s="9" t="s">
        <v>17</v>
      </c>
      <c r="L23" s="9" t="s">
        <v>15</v>
      </c>
      <c r="M23" s="9" t="s">
        <v>18</v>
      </c>
    </row>
    <row r="24" spans="1:13">
      <c r="A24" s="1" t="s">
        <v>13</v>
      </c>
      <c r="B24" s="1">
        <v>23</v>
      </c>
      <c r="C24" s="1">
        <v>2000</v>
      </c>
      <c r="D24" s="1">
        <v>2001</v>
      </c>
      <c r="E24" s="1">
        <v>40.936492575471583</v>
      </c>
      <c r="F24" s="1">
        <v>-91.534570802899069</v>
      </c>
      <c r="G24" s="4" t="str">
        <f>HYPERLINK(CONCATENATE("https://ee-faluhong.projects.earthengine.app/view/isp-ts-evaluation#id=23 2000-&gt;2001;lat=40.93649257547158;lon=-91.53457080289907;year=2000;bf=7;level=18;"), "landsat_time_series")</f>
        <v>landsat_time_series</v>
      </c>
      <c r="H24" s="4" t="str">
        <f>HYPERLINK(CONCATENATE("https://jstnbraaten.users.earthengine.app/view/landsat-timeseries-explorer#run=true;lon=-91.53457080289907;lat=40.93649257547158;from=01-01;to=12-31;index=NDVI;rgb=NIR%2FRED%2FGREEN;chipwidth=1;"), "landsat_chips")</f>
        <v>landsat_chips</v>
      </c>
      <c r="I24" s="4" t="str">
        <f>HYPERLINK(CONCATENATE("https://livingatlas.arcgis.com/wayback/#ext=-91.53557080289907,40.93749257547158,-91.53357080289906,40.935492575471585"), "wayback")</f>
        <v>wayback</v>
      </c>
      <c r="J24" s="9" t="s">
        <v>14</v>
      </c>
      <c r="L24" s="9" t="s">
        <v>15</v>
      </c>
      <c r="M24" s="9" t="s">
        <v>18</v>
      </c>
    </row>
    <row r="25" spans="1:13">
      <c r="A25" s="1" t="s">
        <v>13</v>
      </c>
      <c r="B25" s="1">
        <v>24</v>
      </c>
      <c r="C25" s="1">
        <v>2006</v>
      </c>
      <c r="D25" s="1">
        <v>2007</v>
      </c>
      <c r="E25" s="1">
        <v>25.50798606973763</v>
      </c>
      <c r="F25" s="1">
        <v>-80.570276526637826</v>
      </c>
      <c r="G25" s="4" t="str">
        <f>HYPERLINK(CONCATENATE("https://ee-faluhong.projects.earthengine.app/view/isp-ts-evaluation#id=24 2006-&gt;2007;lat=25.50798606973763;lon=-80.57027652663783;year=2006;bf=7;level=18;"), "landsat_time_series")</f>
        <v>landsat_time_series</v>
      </c>
      <c r="H25" s="4" t="str">
        <f>HYPERLINK(CONCATENATE("https://jstnbraaten.users.earthengine.app/view/landsat-timeseries-explorer#run=true;lon=-80.57027652663783;lat=25.50798606973763;from=01-01;to=12-31;index=NDVI;rgb=NIR%2FRED%2FGREEN;chipwidth=1;"), "landsat_chips")</f>
        <v>landsat_chips</v>
      </c>
      <c r="I25" s="4" t="str">
        <f>HYPERLINK(CONCATENATE("https://livingatlas.arcgis.com/wayback/#ext=-80.57127652663783,25.50898606973763,-80.56927652663782,25.50698606973763"), "wayback")</f>
        <v>wayback</v>
      </c>
      <c r="J25" s="9" t="s">
        <v>19</v>
      </c>
      <c r="L25" s="9" t="s">
        <v>15</v>
      </c>
      <c r="M25" s="9" t="s">
        <v>22</v>
      </c>
    </row>
    <row r="26" spans="1:13">
      <c r="A26" s="1" t="s">
        <v>13</v>
      </c>
      <c r="B26" s="1">
        <v>25</v>
      </c>
      <c r="C26" s="1">
        <v>2001</v>
      </c>
      <c r="D26" s="1">
        <v>2002</v>
      </c>
      <c r="E26" s="1">
        <v>36.174378805453507</v>
      </c>
      <c r="F26" s="1">
        <v>-119.0295550930696</v>
      </c>
      <c r="G26" s="4" t="str">
        <f>HYPERLINK(CONCATENATE("https://ee-faluhong.projects.earthengine.app/view/isp-ts-evaluation#id=25 2001-&gt;2002;lat=36.17437880545351;lon=-119.0295550930696;year=2001;bf=7;level=18;"), "landsat_time_series")</f>
        <v>landsat_time_series</v>
      </c>
      <c r="H26" s="4" t="str">
        <f>HYPERLINK(CONCATENATE("https://jstnbraaten.users.earthengine.app/view/landsat-timeseries-explorer#run=true;lon=-119.0295550930696;lat=36.17437880545351;from=01-01;to=12-31;index=NDVI;rgb=NIR%2FRED%2FGREEN;chipwidth=1;"), "landsat_chips")</f>
        <v>landsat_chips</v>
      </c>
      <c r="I26" s="4" t="str">
        <f>HYPERLINK(CONCATENATE("https://livingatlas.arcgis.com/wayback/#ext=-119.03055509306961,36.175378805453505,-119.0285550930696,36.17337880545351"), "wayback")</f>
        <v>wayback</v>
      </c>
      <c r="J26" s="9" t="s">
        <v>34</v>
      </c>
      <c r="L26" s="9" t="s">
        <v>15</v>
      </c>
      <c r="M26" s="9" t="s">
        <v>18</v>
      </c>
    </row>
    <row r="27" spans="1:13">
      <c r="A27" s="1" t="s">
        <v>13</v>
      </c>
      <c r="B27" s="1">
        <v>26</v>
      </c>
      <c r="C27" s="1">
        <v>2018</v>
      </c>
      <c r="D27" s="1">
        <v>2019</v>
      </c>
      <c r="E27" s="1">
        <v>40.734259908521963</v>
      </c>
      <c r="F27" s="1">
        <v>-75.570826952928911</v>
      </c>
      <c r="G27" s="4" t="str">
        <f>HYPERLINK(CONCATENATE("https://ee-faluhong.projects.earthengine.app/view/isp-ts-evaluation#id=26 2018-&gt;2019;lat=40.73425990852196;lon=-75.57082695292891;year=2018;bf=7;level=18;"), "landsat_time_series")</f>
        <v>landsat_time_series</v>
      </c>
      <c r="H27" s="4" t="str">
        <f>HYPERLINK(CONCATENATE("https://jstnbraaten.users.earthengine.app/view/landsat-timeseries-explorer#run=true;lon=-75.57082695292891;lat=40.73425990852196;from=01-01;to=12-31;index=NDVI;rgb=NIR%2FRED%2FGREEN;chipwidth=1;"), "landsat_chips")</f>
        <v>landsat_chips</v>
      </c>
      <c r="I27" s="4" t="str">
        <f>HYPERLINK(CONCATENATE("https://livingatlas.arcgis.com/wayback/#ext=-75.57182695292892,40.73525990852196,-75.5698269529289,40.733259908521966"), "wayback")</f>
        <v>wayback</v>
      </c>
      <c r="J27" s="9" t="s">
        <v>19</v>
      </c>
      <c r="L27" s="9" t="s">
        <v>15</v>
      </c>
      <c r="M27" s="9" t="s">
        <v>33</v>
      </c>
    </row>
    <row r="28" spans="1:13">
      <c r="A28" s="1" t="s">
        <v>13</v>
      </c>
      <c r="B28" s="1">
        <v>27</v>
      </c>
      <c r="C28" s="1">
        <v>2007</v>
      </c>
      <c r="D28" s="1">
        <v>2008</v>
      </c>
      <c r="E28" s="1">
        <v>30.231662820515581</v>
      </c>
      <c r="F28" s="1">
        <v>-83.604954203231046</v>
      </c>
      <c r="G28" s="4" t="str">
        <f>HYPERLINK(CONCATENATE("https://ee-faluhong.projects.earthengine.app/view/isp-ts-evaluation#id=27 2007-&gt;2008;lat=30.23166282051558;lon=-83.60495420323105;year=2007;bf=7;level=18;"), "landsat_time_series")</f>
        <v>landsat_time_series</v>
      </c>
      <c r="H28" s="4" t="str">
        <f>HYPERLINK(CONCATENATE("https://jstnbraaten.users.earthengine.app/view/landsat-timeseries-explorer#run=true;lon=-83.60495420323105;lat=30.23166282051558;from=01-01;to=12-31;index=NDVI;rgb=NIR%2FRED%2FGREEN;chipwidth=1;"), "landsat_chips")</f>
        <v>landsat_chips</v>
      </c>
      <c r="I28" s="4" t="str">
        <f>HYPERLINK(CONCATENATE("https://livingatlas.arcgis.com/wayback/#ext=-83.60595420323105,30.232662820515582,-83.60395420323104,30.23066282051558"), "wayback")</f>
        <v>wayback</v>
      </c>
      <c r="J28" s="9" t="s">
        <v>19</v>
      </c>
      <c r="L28" s="9" t="s">
        <v>15</v>
      </c>
      <c r="M28" s="9" t="s">
        <v>20</v>
      </c>
    </row>
    <row r="29" spans="1:13">
      <c r="A29" s="1" t="s">
        <v>13</v>
      </c>
      <c r="B29" s="1">
        <v>28</v>
      </c>
      <c r="C29" s="1">
        <v>2019</v>
      </c>
      <c r="D29" s="1">
        <v>2020</v>
      </c>
      <c r="E29" s="1">
        <v>40.077224485319512</v>
      </c>
      <c r="F29" s="1">
        <v>-78.027547370043294</v>
      </c>
      <c r="G29" s="4" t="str">
        <f>HYPERLINK(CONCATENATE("https://ee-faluhong.projects.earthengine.app/view/isp-ts-evaluation#id=28 2019-&gt;2020;lat=40.07722448531951;lon=-78.0275473700433;year=2019;bf=7;level=18;"), "landsat_time_series")</f>
        <v>landsat_time_series</v>
      </c>
      <c r="H29" s="4" t="str">
        <f>HYPERLINK(CONCATENATE("https://jstnbraaten.users.earthengine.app/view/landsat-timeseries-explorer#run=true;lon=-78.0275473700433;lat=40.07722448531951;from=01-01;to=12-31;index=NDVI;rgb=NIR%2FRED%2FGREEN;chipwidth=1;"), "landsat_chips")</f>
        <v>landsat_chips</v>
      </c>
      <c r="I29" s="4" t="str">
        <f>HYPERLINK(CONCATENATE("https://livingatlas.arcgis.com/wayback/#ext=-78.0285473700433,40.07822448531951,-78.02654737004329,40.076224485319514"), "wayback")</f>
        <v>wayback</v>
      </c>
      <c r="J29" s="9" t="s">
        <v>21</v>
      </c>
      <c r="L29" s="9" t="s">
        <v>15</v>
      </c>
      <c r="M29" s="9" t="s">
        <v>23</v>
      </c>
    </row>
    <row r="30" spans="1:13">
      <c r="A30" s="1" t="s">
        <v>13</v>
      </c>
      <c r="B30" s="1">
        <v>29</v>
      </c>
      <c r="C30" s="1">
        <v>2002</v>
      </c>
      <c r="D30" s="1">
        <v>2003</v>
      </c>
      <c r="E30" s="1">
        <v>44.284555919041438</v>
      </c>
      <c r="F30" s="1">
        <v>-100.88430907471169</v>
      </c>
      <c r="G30" s="4" t="str">
        <f>HYPERLINK(CONCATENATE("https://ee-faluhong.projects.earthengine.app/view/isp-ts-evaluation#id=29 2002-&gt;2003;lat=44.28455591904144;lon=-100.8843090747117;year=2002;bf=7;level=18;"), "landsat_time_series")</f>
        <v>landsat_time_series</v>
      </c>
      <c r="H30" s="4" t="str">
        <f>HYPERLINK(CONCATENATE("https://jstnbraaten.users.earthengine.app/view/landsat-timeseries-explorer#run=true;lon=-100.8843090747117;lat=44.28455591904144;from=01-01;to=12-31;index=NDVI;rgb=NIR%2FRED%2FGREEN;chipwidth=1;"), "landsat_chips")</f>
        <v>landsat_chips</v>
      </c>
      <c r="I30" s="4" t="str">
        <f>HYPERLINK(CONCATENATE("https://livingatlas.arcgis.com/wayback/#ext=-100.8853090747117,44.285555919041435,-100.88330907471169,44.28355591904144"), "wayback")</f>
        <v>wayback</v>
      </c>
      <c r="J30" s="9" t="s">
        <v>19</v>
      </c>
      <c r="L30" s="9" t="s">
        <v>15</v>
      </c>
      <c r="M30" s="9" t="s">
        <v>33</v>
      </c>
    </row>
    <row r="31" spans="1:13">
      <c r="A31" s="1" t="s">
        <v>13</v>
      </c>
      <c r="B31" s="1">
        <v>30</v>
      </c>
      <c r="C31" s="1">
        <v>2015</v>
      </c>
      <c r="D31" s="1">
        <v>2016</v>
      </c>
      <c r="E31" s="1">
        <v>34.067956981646873</v>
      </c>
      <c r="F31" s="1">
        <v>-117.4828629516078</v>
      </c>
      <c r="G31" s="4" t="str">
        <f>HYPERLINK(CONCATENATE("https://ee-faluhong.projects.earthengine.app/view/isp-ts-evaluation#id=30 2015-&gt;2016;lat=34.06795698164687;lon=-117.4828629516078;year=2015;bf=7;level=18;"), "landsat_time_series")</f>
        <v>landsat_time_series</v>
      </c>
      <c r="H31" s="4" t="str">
        <f>HYPERLINK(CONCATENATE("https://jstnbraaten.users.earthengine.app/view/landsat-timeseries-explorer#run=true;lon=-117.4828629516078;lat=34.06795698164687;from=01-01;to=12-31;index=NDVI;rgb=NIR%2FRED%2FGREEN;chipwidth=1;"), "landsat_chips")</f>
        <v>landsat_chips</v>
      </c>
      <c r="I31" s="4" t="str">
        <f>HYPERLINK(CONCATENATE("https://livingatlas.arcgis.com/wayback/#ext=-117.4838629516078,34.06895698164687,-117.4818629516078,34.066956981646875"), "wayback")</f>
        <v>wayback</v>
      </c>
      <c r="J31" s="9" t="s">
        <v>25</v>
      </c>
      <c r="K31" s="9" t="s">
        <v>35</v>
      </c>
      <c r="L31" s="9" t="s">
        <v>15</v>
      </c>
      <c r="M31" s="9" t="s">
        <v>36</v>
      </c>
    </row>
    <row r="32" spans="1:13">
      <c r="A32" s="1" t="s">
        <v>13</v>
      </c>
      <c r="B32" s="1">
        <v>31</v>
      </c>
      <c r="C32" s="1">
        <v>2019</v>
      </c>
      <c r="D32" s="1">
        <v>2020</v>
      </c>
      <c r="E32" s="1">
        <v>33.719420858702343</v>
      </c>
      <c r="F32" s="1">
        <v>-94.891565405072953</v>
      </c>
      <c r="G32" s="4" t="str">
        <f>HYPERLINK(CONCATENATE("https://ee-faluhong.projects.earthengine.app/view/isp-ts-evaluation#id=31 2019-&gt;2020;lat=33.71942085870234;lon=-94.89156540507295;year=2019;bf=7;level=18;"), "landsat_time_series")</f>
        <v>landsat_time_series</v>
      </c>
      <c r="H32" s="4" t="str">
        <f>HYPERLINK(CONCATENATE("https://jstnbraaten.users.earthengine.app/view/landsat-timeseries-explorer#run=true;lon=-94.89156540507295;lat=33.71942085870234;from=01-01;to=12-31;index=NDVI;rgb=NIR%2FRED%2FGREEN;chipwidth=1;"), "landsat_chips")</f>
        <v>landsat_chips</v>
      </c>
      <c r="I32" s="4" t="str">
        <f>HYPERLINK(CONCATENATE("https://livingatlas.arcgis.com/wayback/#ext=-94.89256540507296,33.72042085870234,-94.89056540507295,33.718420858702345"), "wayback")</f>
        <v>wayback</v>
      </c>
      <c r="J32" s="9" t="s">
        <v>19</v>
      </c>
      <c r="L32" s="9" t="s">
        <v>24</v>
      </c>
      <c r="M32" s="9" t="s">
        <v>18</v>
      </c>
    </row>
    <row r="33" spans="1:13">
      <c r="A33" s="1" t="s">
        <v>13</v>
      </c>
      <c r="B33" s="1">
        <v>32</v>
      </c>
      <c r="C33" s="1">
        <v>2005</v>
      </c>
      <c r="D33" s="1">
        <v>2006</v>
      </c>
      <c r="E33" s="1">
        <v>36.029574579732191</v>
      </c>
      <c r="F33" s="1">
        <v>-98.954304024507366</v>
      </c>
      <c r="G33" s="4" t="str">
        <f>HYPERLINK(CONCATENATE("https://ee-faluhong.projects.earthengine.app/view/isp-ts-evaluation#id=32 2005-&gt;2006;lat=36.02957457973219;lon=-98.95430402450737;year=2005;bf=7;level=18;"), "landsat_time_series")</f>
        <v>landsat_time_series</v>
      </c>
      <c r="H33" s="4" t="str">
        <f>HYPERLINK(CONCATENATE("https://jstnbraaten.users.earthengine.app/view/landsat-timeseries-explorer#run=true;lon=-98.95430402450737;lat=36.02957457973219;from=01-01;to=12-31;index=NDVI;rgb=NIR%2FRED%2FGREEN;chipwidth=1;"), "landsat_chips")</f>
        <v>landsat_chips</v>
      </c>
      <c r="I33" s="4" t="str">
        <f>HYPERLINK(CONCATENATE("https://livingatlas.arcgis.com/wayback/#ext=-98.95530402450737,36.03057457973219,-98.95330402450736,36.028574579732194"), "wayback")</f>
        <v>wayback</v>
      </c>
      <c r="J33" s="9" t="s">
        <v>17</v>
      </c>
      <c r="L33" s="9" t="s">
        <v>15</v>
      </c>
      <c r="M33" s="9" t="s">
        <v>18</v>
      </c>
    </row>
    <row r="34" spans="1:13">
      <c r="A34" s="1" t="s">
        <v>13</v>
      </c>
      <c r="B34" s="1">
        <v>33</v>
      </c>
      <c r="C34" s="1">
        <v>2013</v>
      </c>
      <c r="D34" s="1">
        <v>2014</v>
      </c>
      <c r="E34" s="1">
        <v>34.317716748759423</v>
      </c>
      <c r="F34" s="1">
        <v>-88.481000521940018</v>
      </c>
      <c r="G34" s="4" t="str">
        <f>HYPERLINK(CONCATENATE("https://ee-faluhong.projects.earthengine.app/view/isp-ts-evaluation#id=33 2013-&gt;2014;lat=34.31771674875942;lon=-88.48100052194002;year=2013;bf=7;level=18;"), "landsat_time_series")</f>
        <v>landsat_time_series</v>
      </c>
      <c r="H34" s="4" t="str">
        <f>HYPERLINK(CONCATENATE("https://jstnbraaten.users.earthengine.app/view/landsat-timeseries-explorer#run=true;lon=-88.48100052194002;lat=34.31771674875942;from=01-01;to=12-31;index=NDVI;rgb=NIR%2FRED%2FGREEN;chipwidth=1;"), "landsat_chips")</f>
        <v>landsat_chips</v>
      </c>
      <c r="I34" s="4" t="str">
        <f>HYPERLINK(CONCATENATE("https://livingatlas.arcgis.com/wayback/#ext=-88.48200052194002,34.31871674875942,-88.48000052194001,34.316716748759426"), "wayback")</f>
        <v>wayback</v>
      </c>
      <c r="J34" s="9" t="s">
        <v>25</v>
      </c>
      <c r="K34" s="9" t="s">
        <v>26</v>
      </c>
      <c r="L34" s="9" t="s">
        <v>15</v>
      </c>
      <c r="M34" s="9" t="s">
        <v>18</v>
      </c>
    </row>
    <row r="35" spans="1:13">
      <c r="A35" s="1" t="s">
        <v>13</v>
      </c>
      <c r="B35" s="1">
        <v>34</v>
      </c>
      <c r="C35" s="1">
        <v>2011</v>
      </c>
      <c r="D35" s="1">
        <v>2012</v>
      </c>
      <c r="E35" s="1">
        <v>30.685237168506799</v>
      </c>
      <c r="F35" s="1">
        <v>-96.931571060536626</v>
      </c>
      <c r="G35" s="4" t="str">
        <f>HYPERLINK(CONCATENATE("https://ee-faluhong.projects.earthengine.app/view/isp-ts-evaluation#id=34 2011-&gt;2012;lat=30.6852371685068;lon=-96.93157106053663;year=2011;bf=7;level=18;"), "landsat_time_series")</f>
        <v>landsat_time_series</v>
      </c>
      <c r="H35" s="4" t="str">
        <f>HYPERLINK(CONCATENATE("https://jstnbraaten.users.earthengine.app/view/landsat-timeseries-explorer#run=true;lon=-96.93157106053663;lat=30.6852371685068;from=01-01;to=12-31;index=NDVI;rgb=NIR%2FRED%2FGREEN;chipwidth=1;"), "landsat_chips")</f>
        <v>landsat_chips</v>
      </c>
      <c r="I35" s="4" t="str">
        <f>HYPERLINK(CONCATENATE("https://livingatlas.arcgis.com/wayback/#ext=-96.93257106053663,30.6862371685068,-96.93057106053662,30.684237168506797"), "wayback")</f>
        <v>wayback</v>
      </c>
      <c r="J35" s="9" t="s">
        <v>25</v>
      </c>
      <c r="K35" s="9" t="s">
        <v>26</v>
      </c>
      <c r="L35" s="9" t="s">
        <v>15</v>
      </c>
      <c r="M35" s="9" t="s">
        <v>18</v>
      </c>
    </row>
    <row r="36" spans="1:13">
      <c r="A36" s="1" t="s">
        <v>13</v>
      </c>
      <c r="B36" s="1">
        <v>35</v>
      </c>
      <c r="C36" s="1">
        <v>2015</v>
      </c>
      <c r="D36" s="1">
        <v>2016</v>
      </c>
      <c r="E36" s="1">
        <v>48.016540911302933</v>
      </c>
      <c r="F36" s="1">
        <v>-114.33385299848641</v>
      </c>
      <c r="G36" s="4" t="str">
        <f>HYPERLINK(CONCATENATE("https://ee-faluhong.projects.earthengine.app/view/isp-ts-evaluation#id=35 2015-&gt;2016;lat=48.01654091130293;lon=-114.3338529984864;year=2015;bf=7;level=18;"), "landsat_time_series")</f>
        <v>landsat_time_series</v>
      </c>
      <c r="H36" s="4" t="str">
        <f>HYPERLINK(CONCATENATE("https://jstnbraaten.users.earthengine.app/view/landsat-timeseries-explorer#run=true;lon=-114.3338529984864;lat=48.01654091130293;from=01-01;to=12-31;index=NDVI;rgb=NIR%2FRED%2FGREEN;chipwidth=1;"), "landsat_chips")</f>
        <v>landsat_chips</v>
      </c>
      <c r="I36" s="4" t="str">
        <f>HYPERLINK(CONCATENATE("https://livingatlas.arcgis.com/wayback/#ext=-114.33485299848641,48.01754091130293,-114.3328529984864,48.015540911302935"), "wayback")</f>
        <v>wayback</v>
      </c>
      <c r="J36" s="9" t="s">
        <v>19</v>
      </c>
      <c r="L36" s="9" t="s">
        <v>15</v>
      </c>
      <c r="M36" s="9" t="s">
        <v>20</v>
      </c>
    </row>
    <row r="37" spans="1:13">
      <c r="A37" s="1" t="s">
        <v>13</v>
      </c>
      <c r="B37" s="1">
        <v>36</v>
      </c>
      <c r="C37" s="1">
        <v>2011</v>
      </c>
      <c r="D37" s="1">
        <v>2012</v>
      </c>
      <c r="E37" s="1">
        <v>45.149872140810757</v>
      </c>
      <c r="F37" s="1">
        <v>-122.12901802053931</v>
      </c>
      <c r="G37" s="4" t="str">
        <f>HYPERLINK(CONCATENATE("https://ee-faluhong.projects.earthengine.app/view/isp-ts-evaluation#id=36 2011-&gt;2012;lat=45.14987214081076;lon=-122.1290180205393;year=2011;bf=7;level=18;"), "landsat_time_series")</f>
        <v>landsat_time_series</v>
      </c>
      <c r="H37" s="4" t="str">
        <f>HYPERLINK(CONCATENATE("https://jstnbraaten.users.earthengine.app/view/landsat-timeseries-explorer#run=true;lon=-122.1290180205393;lat=45.14987214081076;from=01-01;to=12-31;index=NDVI;rgb=NIR%2FRED%2FGREEN;chipwidth=1;"), "landsat_chips")</f>
        <v>landsat_chips</v>
      </c>
      <c r="I37" s="4" t="str">
        <f>HYPERLINK(CONCATENATE("https://livingatlas.arcgis.com/wayback/#ext=-122.13001802053931,45.150872140810755,-122.1280180205393,45.14887214081076"), "wayback")</f>
        <v>wayback</v>
      </c>
      <c r="J37" s="9" t="s">
        <v>19</v>
      </c>
      <c r="L37" s="9" t="s">
        <v>15</v>
      </c>
      <c r="M37" s="9" t="s">
        <v>20</v>
      </c>
    </row>
    <row r="38" spans="1:13">
      <c r="A38" s="1" t="s">
        <v>13</v>
      </c>
      <c r="B38" s="1">
        <v>37</v>
      </c>
      <c r="C38" s="1">
        <v>2011</v>
      </c>
      <c r="D38" s="1">
        <v>2012</v>
      </c>
      <c r="E38" s="1">
        <v>29.582134705661311</v>
      </c>
      <c r="F38" s="1">
        <v>-95.307522828867803</v>
      </c>
      <c r="G38" s="4" t="str">
        <f>HYPERLINK(CONCATENATE("https://ee-faluhong.projects.earthengine.app/view/isp-ts-evaluation#id=37 2011-&gt;2012;lat=29.58213470566131;lon=-95.3075228288678;year=2011;bf=7;level=18;"), "landsat_time_series")</f>
        <v>landsat_time_series</v>
      </c>
      <c r="H38" s="4" t="str">
        <f>HYPERLINK(CONCATENATE("https://jstnbraaten.users.earthengine.app/view/landsat-timeseries-explorer#run=true;lon=-95.3075228288678;lat=29.58213470566131;from=01-01;to=12-31;index=NDVI;rgb=NIR%2FRED%2FGREEN;chipwidth=1;"), "landsat_chips")</f>
        <v>landsat_chips</v>
      </c>
      <c r="I38" s="4" t="str">
        <f>HYPERLINK(CONCATENATE("https://livingatlas.arcgis.com/wayback/#ext=-95.30852282886781,29.583134705661312,-95.3065228288678,29.58113470566131"), "wayback")</f>
        <v>wayback</v>
      </c>
      <c r="J38" s="9" t="s">
        <v>17</v>
      </c>
      <c r="L38" s="9" t="s">
        <v>15</v>
      </c>
      <c r="M38" s="9" t="s">
        <v>18</v>
      </c>
    </row>
    <row r="39" spans="1:13">
      <c r="A39" s="1" t="s">
        <v>13</v>
      </c>
      <c r="B39" s="1">
        <v>38</v>
      </c>
      <c r="C39" s="1">
        <v>2001</v>
      </c>
      <c r="D39" s="1">
        <v>2002</v>
      </c>
      <c r="E39" s="1">
        <v>29.465520179416298</v>
      </c>
      <c r="F39" s="1">
        <v>-83.04687793745245</v>
      </c>
      <c r="G39" s="4" t="str">
        <f>HYPERLINK(CONCATENATE("https://ee-faluhong.projects.earthengine.app/view/isp-ts-evaluation#id=38 2001-&gt;2002;lat=29.4655201794163;lon=-83.04687793745245;year=2001;bf=7;level=18;"), "landsat_time_series")</f>
        <v>landsat_time_series</v>
      </c>
      <c r="H39" s="4" t="str">
        <f>HYPERLINK(CONCATENATE("https://jstnbraaten.users.earthengine.app/view/landsat-timeseries-explorer#run=true;lon=-83.04687793745245;lat=29.4655201794163;from=01-01;to=12-31;index=NDVI;rgb=NIR%2FRED%2FGREEN;chipwidth=1;"), "landsat_chips")</f>
        <v>landsat_chips</v>
      </c>
      <c r="I39" s="4" t="str">
        <f>HYPERLINK(CONCATENATE("https://livingatlas.arcgis.com/wayback/#ext=-83.04787793745245,29.4665201794163,-83.04587793745245,29.464520179416297"), "wayback")</f>
        <v>wayback</v>
      </c>
      <c r="J39" s="9" t="s">
        <v>19</v>
      </c>
      <c r="L39" s="9" t="s">
        <v>15</v>
      </c>
      <c r="M39" s="9" t="s">
        <v>22</v>
      </c>
    </row>
    <row r="40" spans="1:13">
      <c r="A40" s="1" t="s">
        <v>13</v>
      </c>
      <c r="B40" s="1">
        <v>39</v>
      </c>
      <c r="C40" s="1">
        <v>2017</v>
      </c>
      <c r="D40" s="1">
        <v>2018</v>
      </c>
      <c r="E40" s="1">
        <v>39.271147952488619</v>
      </c>
      <c r="F40" s="1">
        <v>-122.0234314160228</v>
      </c>
      <c r="G40" s="4" t="str">
        <f>HYPERLINK(CONCATENATE("https://ee-faluhong.projects.earthengine.app/view/isp-ts-evaluation#id=39 2017-&gt;2018;lat=39.27114795248862;lon=-122.0234314160228;year=2017;bf=7;level=18;"), "landsat_time_series")</f>
        <v>landsat_time_series</v>
      </c>
      <c r="H40" s="4" t="str">
        <f>HYPERLINK(CONCATENATE("https://jstnbraaten.users.earthengine.app/view/landsat-timeseries-explorer#run=true;lon=-122.0234314160228;lat=39.27114795248862;from=01-01;to=12-31;index=NDVI;rgb=NIR%2FRED%2FGREEN;chipwidth=1;"), "landsat_chips")</f>
        <v>landsat_chips</v>
      </c>
      <c r="I40" s="4" t="str">
        <f>HYPERLINK(CONCATENATE("https://livingatlas.arcgis.com/wayback/#ext=-122.02443141602281,39.272147952488616,-122.0224314160228,39.27014795248862"), "wayback")</f>
        <v>wayback</v>
      </c>
      <c r="J40" s="9" t="s">
        <v>25</v>
      </c>
      <c r="K40" s="9" t="s">
        <v>26</v>
      </c>
      <c r="L40" s="9" t="s">
        <v>15</v>
      </c>
      <c r="M40" s="9" t="s">
        <v>18</v>
      </c>
    </row>
    <row r="41" spans="1:13">
      <c r="A41" s="1" t="s">
        <v>13</v>
      </c>
      <c r="B41" s="1">
        <v>40</v>
      </c>
      <c r="C41" s="1">
        <v>2012</v>
      </c>
      <c r="D41" s="1">
        <v>2013</v>
      </c>
      <c r="E41" s="1">
        <v>31.876303101387929</v>
      </c>
      <c r="F41" s="1">
        <v>-106.58249834460629</v>
      </c>
      <c r="G41" s="4" t="str">
        <f>HYPERLINK(CONCATENATE("https://ee-faluhong.projects.earthengine.app/view/isp-ts-evaluation#id=40 2012-&gt;2013;lat=31.87630310138793;lon=-106.5824983446063;year=2012;bf=7;level=18;"), "landsat_time_series")</f>
        <v>landsat_time_series</v>
      </c>
      <c r="H41" s="4" t="str">
        <f>HYPERLINK(CONCATENATE("https://jstnbraaten.users.earthengine.app/view/landsat-timeseries-explorer#run=true;lon=-106.5824983446063;lat=31.87630310138793;from=01-01;to=12-31;index=NDVI;rgb=NIR%2FRED%2FGREEN;chipwidth=1;"), "landsat_chips")</f>
        <v>landsat_chips</v>
      </c>
      <c r="I41" s="4" t="str">
        <f>HYPERLINK(CONCATENATE("https://livingatlas.arcgis.com/wayback/#ext=-106.5834983446063,31.87730310138793,-106.58149834460629,31.875303101387928"), "wayback")</f>
        <v>wayback</v>
      </c>
      <c r="J41" s="9" t="s">
        <v>17</v>
      </c>
      <c r="L41" s="9" t="s">
        <v>15</v>
      </c>
      <c r="M41" s="9" t="s">
        <v>23</v>
      </c>
    </row>
    <row r="42" spans="1:13">
      <c r="A42" s="1" t="s">
        <v>13</v>
      </c>
      <c r="B42" s="1">
        <v>41</v>
      </c>
      <c r="C42" s="1">
        <v>2002</v>
      </c>
      <c r="D42" s="1">
        <v>2003</v>
      </c>
      <c r="E42" s="1">
        <v>46.608047779733432</v>
      </c>
      <c r="F42" s="1">
        <v>-118.24751908011559</v>
      </c>
      <c r="G42" s="4" t="str">
        <f>HYPERLINK(CONCATENATE("https://ee-faluhong.projects.earthengine.app/view/isp-ts-evaluation#id=41 2002-&gt;2003;lat=46.60804777973343;lon=-118.2475190801156;year=2002;bf=7;level=18;"), "landsat_time_series")</f>
        <v>landsat_time_series</v>
      </c>
      <c r="H42" s="4" t="str">
        <f>HYPERLINK(CONCATENATE("https://jstnbraaten.users.earthengine.app/view/landsat-timeseries-explorer#run=true;lon=-118.2475190801156;lat=46.60804777973343;from=01-01;to=12-31;index=NDVI;rgb=NIR%2FRED%2FGREEN;chipwidth=1;"), "landsat_chips")</f>
        <v>landsat_chips</v>
      </c>
      <c r="I42" s="4" t="str">
        <f>HYPERLINK(CONCATENATE("https://livingatlas.arcgis.com/wayback/#ext=-118.2485190801156,46.60904777973343,-118.24651908011559,46.607047779733435"), "wayback")</f>
        <v>wayback</v>
      </c>
      <c r="J42" s="9" t="s">
        <v>19</v>
      </c>
      <c r="L42" s="9" t="s">
        <v>15</v>
      </c>
      <c r="M42" s="9" t="s">
        <v>30</v>
      </c>
    </row>
    <row r="43" spans="1:13">
      <c r="A43" s="1" t="s">
        <v>13</v>
      </c>
      <c r="B43" s="1">
        <v>42</v>
      </c>
      <c r="C43" s="1">
        <v>2005</v>
      </c>
      <c r="D43" s="1">
        <v>2006</v>
      </c>
      <c r="E43" s="1">
        <v>30.12690828787607</v>
      </c>
      <c r="F43" s="1">
        <v>-95.243091264559922</v>
      </c>
      <c r="G43" s="4" t="str">
        <f>HYPERLINK(CONCATENATE("https://ee-faluhong.projects.earthengine.app/view/isp-ts-evaluation#id=42 2005-&gt;2006;lat=30.12690828787607;lon=-95.24309126455992;year=2005;bf=7;level=18;"), "landsat_time_series")</f>
        <v>landsat_time_series</v>
      </c>
      <c r="H43" s="4" t="str">
        <f>HYPERLINK(CONCATENATE("https://jstnbraaten.users.earthengine.app/view/landsat-timeseries-explorer#run=true;lon=-95.24309126455992;lat=30.12690828787607;from=01-01;to=12-31;index=NDVI;rgb=NIR%2FRED%2FGREEN;chipwidth=1;"), "landsat_chips")</f>
        <v>landsat_chips</v>
      </c>
      <c r="I43" s="4" t="str">
        <f>HYPERLINK(CONCATENATE("https://livingatlas.arcgis.com/wayback/#ext=-95.24409126455993,30.12790828787607,-95.24209126455992,30.12590828787607"), "wayback")</f>
        <v>wayback</v>
      </c>
      <c r="J43" s="9" t="s">
        <v>14</v>
      </c>
      <c r="L43" s="9" t="s">
        <v>15</v>
      </c>
      <c r="M43" s="9" t="s">
        <v>37</v>
      </c>
    </row>
    <row r="44" spans="1:13">
      <c r="A44" s="1" t="s">
        <v>13</v>
      </c>
      <c r="B44" s="1">
        <v>43</v>
      </c>
      <c r="C44" s="1">
        <v>2018</v>
      </c>
      <c r="D44" s="1">
        <v>2019</v>
      </c>
      <c r="E44" s="1">
        <v>40.219362931910808</v>
      </c>
      <c r="F44" s="1">
        <v>-79.614590980785067</v>
      </c>
      <c r="G44" s="4" t="str">
        <f>HYPERLINK(CONCATENATE("https://ee-faluhong.projects.earthengine.app/view/isp-ts-evaluation#id=43 2018-&gt;2019;lat=40.21936293191081;lon=-79.61459098078507;year=2018;bf=7;level=18;"), "landsat_time_series")</f>
        <v>landsat_time_series</v>
      </c>
      <c r="H44" s="4" t="str">
        <f>HYPERLINK(CONCATENATE("https://jstnbraaten.users.earthengine.app/view/landsat-timeseries-explorer#run=true;lon=-79.61459098078507;lat=40.21936293191081;from=01-01;to=12-31;index=NDVI;rgb=NIR%2FRED%2FGREEN;chipwidth=1;"), "landsat_chips")</f>
        <v>landsat_chips</v>
      </c>
      <c r="I44" s="4" t="str">
        <f>HYPERLINK(CONCATENATE("https://livingatlas.arcgis.com/wayback/#ext=-79.61559098078507,40.220362931910806,-79.61359098078506,40.21836293191081"), "wayback")</f>
        <v>wayback</v>
      </c>
      <c r="J44" s="9" t="s">
        <v>14</v>
      </c>
      <c r="L44" s="9" t="s">
        <v>24</v>
      </c>
      <c r="M44" s="9" t="s">
        <v>18</v>
      </c>
    </row>
    <row r="45" spans="1:13">
      <c r="A45" s="1" t="s">
        <v>13</v>
      </c>
      <c r="B45" s="1">
        <v>44</v>
      </c>
      <c r="C45" s="1">
        <v>2005</v>
      </c>
      <c r="D45" s="1">
        <v>2006</v>
      </c>
      <c r="E45" s="1">
        <v>36.544241463121423</v>
      </c>
      <c r="F45" s="1">
        <v>-87.522605432059009</v>
      </c>
      <c r="G45" s="4" t="str">
        <f>HYPERLINK(CONCATENATE("https://ee-faluhong.projects.earthengine.app/view/isp-ts-evaluation#id=44 2005-&gt;2006;lat=36.54424146312142;lon=-87.52260543205901;year=2005;bf=7;level=18;"), "landsat_time_series")</f>
        <v>landsat_time_series</v>
      </c>
      <c r="H45" s="4" t="str">
        <f>HYPERLINK(CONCATENATE("https://jstnbraaten.users.earthengine.app/view/landsat-timeseries-explorer#run=true;lon=-87.52260543205901;lat=36.54424146312142;from=01-01;to=12-31;index=NDVI;rgb=NIR%2FRED%2FGREEN;chipwidth=1;"), "landsat_chips")</f>
        <v>landsat_chips</v>
      </c>
      <c r="I45" s="4" t="str">
        <f>HYPERLINK(CONCATENATE("https://livingatlas.arcgis.com/wayback/#ext=-87.52360543205901,36.54524146312142,-87.521605432059,36.543241463121426"), "wayback")</f>
        <v>wayback</v>
      </c>
      <c r="J45" s="9" t="s">
        <v>14</v>
      </c>
      <c r="L45" s="9" t="s">
        <v>15</v>
      </c>
      <c r="M45" s="9" t="s">
        <v>33</v>
      </c>
    </row>
    <row r="46" spans="1:13">
      <c r="A46" s="1" t="s">
        <v>13</v>
      </c>
      <c r="B46" s="1">
        <v>45</v>
      </c>
      <c r="C46" s="1">
        <v>2001</v>
      </c>
      <c r="D46" s="1">
        <v>2002</v>
      </c>
      <c r="E46" s="1">
        <v>40.154748327233563</v>
      </c>
      <c r="F46" s="1">
        <v>-99.484667040178977</v>
      </c>
      <c r="G46" s="4" t="str">
        <f>HYPERLINK(CONCATENATE("https://ee-faluhong.projects.earthengine.app/view/isp-ts-evaluation#id=45 2001-&gt;2002;lat=40.15474832723356;lon=-99.48466704017898;year=2001;bf=7;level=18;"), "landsat_time_series")</f>
        <v>landsat_time_series</v>
      </c>
      <c r="H46" s="4" t="str">
        <f>HYPERLINK(CONCATENATE("https://jstnbraaten.users.earthengine.app/view/landsat-timeseries-explorer#run=true;lon=-99.48466704017898;lat=40.15474832723356;from=01-01;to=12-31;index=NDVI;rgb=NIR%2FRED%2FGREEN;chipwidth=1;"), "landsat_chips")</f>
        <v>landsat_chips</v>
      </c>
      <c r="I46" s="4" t="str">
        <f>HYPERLINK(CONCATENATE("https://livingatlas.arcgis.com/wayback/#ext=-99.48566704017898,40.15574832723356,-99.48366704017897,40.153748327233565"), "wayback")</f>
        <v>wayback</v>
      </c>
      <c r="J46" s="9" t="s">
        <v>17</v>
      </c>
      <c r="L46" s="9" t="s">
        <v>15</v>
      </c>
      <c r="M46" s="9" t="s">
        <v>18</v>
      </c>
    </row>
    <row r="47" spans="1:13">
      <c r="A47" s="1" t="s">
        <v>13</v>
      </c>
      <c r="B47" s="1">
        <v>46</v>
      </c>
      <c r="C47" s="1">
        <v>2018</v>
      </c>
      <c r="D47" s="1">
        <v>2019</v>
      </c>
      <c r="E47" s="1">
        <v>35.842766122172577</v>
      </c>
      <c r="F47" s="1">
        <v>-83.854309202382268</v>
      </c>
      <c r="G47" s="4" t="str">
        <f>HYPERLINK(CONCATENATE("https://ee-faluhong.projects.earthengine.app/view/isp-ts-evaluation#id=46 2018-&gt;2019;lat=35.84276612217258;lon=-83.85430920238227;year=2018;bf=7;level=18;"), "landsat_time_series")</f>
        <v>landsat_time_series</v>
      </c>
      <c r="H47" s="4" t="str">
        <f>HYPERLINK(CONCATENATE("https://jstnbraaten.users.earthengine.app/view/landsat-timeseries-explorer#run=true;lon=-83.85430920238227;lat=35.84276612217258;from=01-01;to=12-31;index=NDVI;rgb=NIR%2FRED%2FGREEN;chipwidth=1;"), "landsat_chips")</f>
        <v>landsat_chips</v>
      </c>
      <c r="I47" s="4" t="str">
        <f>HYPERLINK(CONCATENATE("https://livingatlas.arcgis.com/wayback/#ext=-83.85530920238227,35.843766122172575,-83.85330920238226,35.84176612217258"), "wayback")</f>
        <v>wayback</v>
      </c>
      <c r="J47" s="9" t="s">
        <v>14</v>
      </c>
      <c r="L47" s="9" t="s">
        <v>15</v>
      </c>
      <c r="M47" s="9" t="s">
        <v>38</v>
      </c>
    </row>
    <row r="48" spans="1:13">
      <c r="A48" s="1" t="s">
        <v>13</v>
      </c>
      <c r="B48" s="1">
        <v>47</v>
      </c>
      <c r="C48" s="1">
        <v>2008</v>
      </c>
      <c r="D48" s="1">
        <v>2009</v>
      </c>
      <c r="E48" s="1">
        <v>37.449819736410191</v>
      </c>
      <c r="F48" s="1">
        <v>-76.413530314336455</v>
      </c>
      <c r="G48" s="4" t="str">
        <f>HYPERLINK(CONCATENATE("https://ee-faluhong.projects.earthengine.app/view/isp-ts-evaluation#id=47 2008-&gt;2009;lat=37.44981973641019;lon=-76.41353031433646;year=2008;bf=7;level=18;"), "landsat_time_series")</f>
        <v>landsat_time_series</v>
      </c>
      <c r="H48" s="4" t="str">
        <f>HYPERLINK(CONCATENATE("https://jstnbraaten.users.earthengine.app/view/landsat-timeseries-explorer#run=true;lon=-76.41353031433646;lat=37.44981973641019;from=01-01;to=12-31;index=NDVI;rgb=NIR%2FRED%2FGREEN;chipwidth=1;"), "landsat_chips")</f>
        <v>landsat_chips</v>
      </c>
      <c r="I48" s="4" t="str">
        <f>HYPERLINK(CONCATENATE("https://livingatlas.arcgis.com/wayback/#ext=-76.41453031433646,37.45081973641019,-76.41253031433645,37.448819736410194"), "wayback")</f>
        <v>wayback</v>
      </c>
      <c r="J48" s="9" t="s">
        <v>25</v>
      </c>
      <c r="L48" s="9" t="s">
        <v>15</v>
      </c>
      <c r="M48" s="9" t="s">
        <v>18</v>
      </c>
    </row>
    <row r="49" spans="1:13">
      <c r="A49" s="1" t="s">
        <v>13</v>
      </c>
      <c r="B49" s="1">
        <v>48</v>
      </c>
      <c r="C49" s="1">
        <v>2019</v>
      </c>
      <c r="D49" s="1">
        <v>2020</v>
      </c>
      <c r="E49" s="1">
        <v>34.667425848297867</v>
      </c>
      <c r="F49" s="1">
        <v>-88.252553706037901</v>
      </c>
      <c r="G49" s="4" t="str">
        <f>HYPERLINK(CONCATENATE("https://ee-faluhong.projects.earthengine.app/view/isp-ts-evaluation#id=48 2019-&gt;2020;lat=34.66742584829787;lon=-88.2525537060379;year=2019;bf=7;level=18;"), "landsat_time_series")</f>
        <v>landsat_time_series</v>
      </c>
      <c r="H49" s="4" t="str">
        <f>HYPERLINK(CONCATENATE("https://jstnbraaten.users.earthengine.app/view/landsat-timeseries-explorer#run=true;lon=-88.2525537060379;lat=34.66742584829787;from=01-01;to=12-31;index=NDVI;rgb=NIR%2FRED%2FGREEN;chipwidth=1;"), "landsat_chips")</f>
        <v>landsat_chips</v>
      </c>
      <c r="I49" s="4" t="str">
        <f>HYPERLINK(CONCATENATE("https://livingatlas.arcgis.com/wayback/#ext=-88.2535537060379,34.668425848297865,-88.2515537060379,34.66642584829787"), "wayback")</f>
        <v>wayback</v>
      </c>
      <c r="J49" s="9" t="s">
        <v>25</v>
      </c>
      <c r="L49" s="9" t="s">
        <v>15</v>
      </c>
      <c r="M49" s="9" t="s">
        <v>18</v>
      </c>
    </row>
    <row r="50" spans="1:13">
      <c r="A50" s="1" t="s">
        <v>13</v>
      </c>
      <c r="B50" s="1">
        <v>49</v>
      </c>
      <c r="C50" s="1">
        <v>2017</v>
      </c>
      <c r="D50" s="1">
        <v>2018</v>
      </c>
      <c r="E50" s="1">
        <v>44.709417350054572</v>
      </c>
      <c r="F50" s="1">
        <v>-90.481972805535705</v>
      </c>
      <c r="G50" s="4" t="str">
        <f>HYPERLINK(CONCATENATE("https://ee-faluhong.projects.earthengine.app/view/isp-ts-evaluation#id=49 2017-&gt;2018;lat=44.70941735005457;lon=-90.4819728055357;year=2017;bf=7;level=18;"), "landsat_time_series")</f>
        <v>landsat_time_series</v>
      </c>
      <c r="H50" s="4" t="str">
        <f>HYPERLINK(CONCATENATE("https://jstnbraaten.users.earthengine.app/view/landsat-timeseries-explorer#run=true;lon=-90.4819728055357;lat=44.70941735005457;from=01-01;to=12-31;index=NDVI;rgb=NIR%2FRED%2FGREEN;chipwidth=1;"), "landsat_chips")</f>
        <v>landsat_chips</v>
      </c>
      <c r="I50" s="4" t="str">
        <f>HYPERLINK(CONCATENATE("https://livingatlas.arcgis.com/wayback/#ext=-90.48297280553571,44.71041735005457,-90.4809728055357,44.708417350054575"), "wayback")</f>
        <v>wayback</v>
      </c>
      <c r="J50" s="9" t="s">
        <v>14</v>
      </c>
      <c r="L50" s="9" t="s">
        <v>15</v>
      </c>
      <c r="M50" s="9" t="s">
        <v>16</v>
      </c>
    </row>
    <row r="51" spans="1:13">
      <c r="A51" s="1" t="s">
        <v>13</v>
      </c>
      <c r="B51" s="1">
        <v>50</v>
      </c>
      <c r="C51" s="1">
        <v>2000</v>
      </c>
      <c r="D51" s="1">
        <v>2001</v>
      </c>
      <c r="E51" s="1">
        <v>27.097709434875281</v>
      </c>
      <c r="F51" s="1">
        <v>-82.088870026231859</v>
      </c>
      <c r="G51" s="4" t="str">
        <f>HYPERLINK(CONCATENATE("https://ee-faluhong.projects.earthengine.app/view/isp-ts-evaluation#id=50 2000-&gt;2001;lat=27.09770943487528;lon=-82.08887002623186;year=2000;bf=7;level=18;"), "landsat_time_series")</f>
        <v>landsat_time_series</v>
      </c>
      <c r="H51" s="4" t="str">
        <f>HYPERLINK(CONCATENATE("https://jstnbraaten.users.earthengine.app/view/landsat-timeseries-explorer#run=true;lon=-82.08887002623186;lat=27.09770943487528;from=01-01;to=12-31;index=NDVI;rgb=NIR%2FRED%2FGREEN;chipwidth=1;"), "landsat_chips")</f>
        <v>landsat_chips</v>
      </c>
      <c r="I51" s="4" t="str">
        <f>HYPERLINK(CONCATENATE("https://livingatlas.arcgis.com/wayback/#ext=-82.08987002623186,27.098709434875282,-82.08787002623185,27.09670943487528"), "wayback")</f>
        <v>wayback</v>
      </c>
      <c r="J51" s="9" t="s">
        <v>14</v>
      </c>
      <c r="L51" s="9" t="s">
        <v>15</v>
      </c>
      <c r="M51" s="9" t="s">
        <v>37</v>
      </c>
    </row>
    <row r="52" spans="1:13">
      <c r="A52" s="1" t="s">
        <v>13</v>
      </c>
      <c r="B52" s="1">
        <v>51</v>
      </c>
      <c r="C52" s="1">
        <v>2015</v>
      </c>
      <c r="D52" s="1">
        <v>2016</v>
      </c>
      <c r="E52" s="1">
        <v>37.387141617835042</v>
      </c>
      <c r="F52" s="1">
        <v>-100.297730553164</v>
      </c>
      <c r="G52" s="4" t="str">
        <f>HYPERLINK(CONCATENATE("https://ee-faluhong.projects.earthengine.app/view/isp-ts-evaluation#id=51 2015-&gt;2016;lat=37.38714161783504;lon=-100.297730553164;year=2015;bf=7;level=18;"), "landsat_time_series")</f>
        <v>landsat_time_series</v>
      </c>
      <c r="H52" s="4" t="str">
        <f>HYPERLINK(CONCATENATE("https://jstnbraaten.users.earthengine.app/view/landsat-timeseries-explorer#run=true;lon=-100.297730553164;lat=37.38714161783504;from=01-01;to=12-31;index=NDVI;rgb=NIR%2FRED%2FGREEN;chipwidth=1;"), "landsat_chips")</f>
        <v>landsat_chips</v>
      </c>
      <c r="I52" s="4" t="str">
        <f>HYPERLINK(CONCATENATE("https://livingatlas.arcgis.com/wayback/#ext=-100.298730553164,37.38814161783504,-100.296730553164,37.386141617835044"), "wayback")</f>
        <v>wayback</v>
      </c>
      <c r="J52" s="9" t="s">
        <v>17</v>
      </c>
      <c r="L52" s="9" t="s">
        <v>15</v>
      </c>
      <c r="M52" s="9" t="s">
        <v>18</v>
      </c>
    </row>
    <row r="53" spans="1:13">
      <c r="A53" s="1" t="s">
        <v>13</v>
      </c>
      <c r="B53" s="1">
        <v>52</v>
      </c>
      <c r="C53" s="1">
        <v>2016</v>
      </c>
      <c r="D53" s="1">
        <v>2017</v>
      </c>
      <c r="E53" s="1">
        <v>33.61351621016928</v>
      </c>
      <c r="F53" s="1">
        <v>-92.049465224021844</v>
      </c>
      <c r="G53" s="4" t="str">
        <f>HYPERLINK(CONCATENATE("https://ee-faluhong.projects.earthengine.app/view/isp-ts-evaluation#id=52 2016-&gt;2017;lat=33.61351621016928;lon=-92.04946522402184;year=2016;bf=7;level=18;"), "landsat_time_series")</f>
        <v>landsat_time_series</v>
      </c>
      <c r="H53" s="4" t="str">
        <f>HYPERLINK(CONCATENATE("https://jstnbraaten.users.earthengine.app/view/landsat-timeseries-explorer#run=true;lon=-92.04946522402184;lat=33.61351621016928;from=01-01;to=12-31;index=NDVI;rgb=NIR%2FRED%2FGREEN;chipwidth=1;"), "landsat_chips")</f>
        <v>landsat_chips</v>
      </c>
      <c r="I53" s="4" t="str">
        <f>HYPERLINK(CONCATENATE("https://livingatlas.arcgis.com/wayback/#ext=-92.05046522402185,33.61451621016928,-92.04846522402184,33.61251621016928"), "wayback")</f>
        <v>wayback</v>
      </c>
      <c r="J53" s="9" t="s">
        <v>17</v>
      </c>
      <c r="L53" s="9" t="s">
        <v>15</v>
      </c>
      <c r="M53" s="9" t="s">
        <v>18</v>
      </c>
    </row>
    <row r="54" spans="1:13">
      <c r="A54" s="1" t="s">
        <v>13</v>
      </c>
      <c r="B54" s="1">
        <v>53</v>
      </c>
      <c r="C54" s="1">
        <v>2003</v>
      </c>
      <c r="D54" s="1">
        <v>2004</v>
      </c>
      <c r="E54" s="1">
        <v>27.744731565163981</v>
      </c>
      <c r="F54" s="1">
        <v>-80.396878125887469</v>
      </c>
      <c r="G54" s="4" t="str">
        <f>HYPERLINK(CONCATENATE("https://ee-faluhong.projects.earthengine.app/view/isp-ts-evaluation#id=53 2003-&gt;2004;lat=27.74473156516398;lon=-80.39687812588747;year=2003;bf=7;level=18;"), "landsat_time_series")</f>
        <v>landsat_time_series</v>
      </c>
      <c r="H54" s="4" t="str">
        <f>HYPERLINK(CONCATENATE("https://jstnbraaten.users.earthengine.app/view/landsat-timeseries-explorer#run=true;lon=-80.39687812588747;lat=27.74473156516398;from=01-01;to=12-31;index=NDVI;rgb=NIR%2FRED%2FGREEN;chipwidth=1;"), "landsat_chips")</f>
        <v>landsat_chips</v>
      </c>
      <c r="I54" s="4" t="str">
        <f>HYPERLINK(CONCATENATE("https://livingatlas.arcgis.com/wayback/#ext=-80.39787812588747,27.745731565163982,-80.39587812588746,27.74373156516398"), "wayback")</f>
        <v>wayback</v>
      </c>
      <c r="J54" s="9" t="s">
        <v>17</v>
      </c>
      <c r="L54" s="9" t="s">
        <v>15</v>
      </c>
      <c r="M54" s="9" t="s">
        <v>39</v>
      </c>
    </row>
    <row r="55" spans="1:13">
      <c r="A55" s="1" t="s">
        <v>13</v>
      </c>
      <c r="B55" s="1">
        <v>54</v>
      </c>
      <c r="C55" s="1">
        <v>2010</v>
      </c>
      <c r="D55" s="1">
        <v>2011</v>
      </c>
      <c r="E55" s="1">
        <v>48.079553164103579</v>
      </c>
      <c r="F55" s="1">
        <v>-123.1043251356658</v>
      </c>
      <c r="G55" s="4" t="str">
        <f>HYPERLINK(CONCATENATE("https://ee-faluhong.projects.earthengine.app/view/isp-ts-evaluation#id=54 2010-&gt;2011;lat=48.07955316410358;lon=-123.1043251356658;year=2010;bf=7;level=18;"), "landsat_time_series")</f>
        <v>landsat_time_series</v>
      </c>
      <c r="H55" s="4" t="str">
        <f>HYPERLINK(CONCATENATE("https://jstnbraaten.users.earthengine.app/view/landsat-timeseries-explorer#run=true;lon=-123.1043251356658;lat=48.07955316410358;from=01-01;to=12-31;index=NDVI;rgb=NIR%2FRED%2FGREEN;chipwidth=1;"), "landsat_chips")</f>
        <v>landsat_chips</v>
      </c>
      <c r="I55" s="4" t="str">
        <f>HYPERLINK(CONCATENATE("https://livingatlas.arcgis.com/wayback/#ext=-123.10532513566581,48.08055316410358,-123.1033251356658,48.07855316410358"), "wayback")</f>
        <v>wayback</v>
      </c>
      <c r="J55" s="9" t="s">
        <v>25</v>
      </c>
      <c r="K55" s="9" t="s">
        <v>40</v>
      </c>
      <c r="L55" s="9" t="s">
        <v>15</v>
      </c>
      <c r="M55" s="9" t="s">
        <v>36</v>
      </c>
    </row>
    <row r="56" spans="1:13">
      <c r="A56" s="1" t="s">
        <v>13</v>
      </c>
      <c r="B56" s="1">
        <v>55</v>
      </c>
      <c r="C56" s="1">
        <v>2006</v>
      </c>
      <c r="D56" s="1">
        <v>2007</v>
      </c>
      <c r="E56" s="1">
        <v>41.555799703206553</v>
      </c>
      <c r="F56" s="1">
        <v>-93.804591899366571</v>
      </c>
      <c r="G56" s="4" t="str">
        <f>HYPERLINK(CONCATENATE("https://ee-faluhong.projects.earthengine.app/view/isp-ts-evaluation#id=55 2006-&gt;2007;lat=41.55579970320655;lon=-93.80459189936657;year=2006;bf=7;level=18;"), "landsat_time_series")</f>
        <v>landsat_time_series</v>
      </c>
      <c r="H56" s="4" t="str">
        <f>HYPERLINK(CONCATENATE("https://jstnbraaten.users.earthengine.app/view/landsat-timeseries-explorer#run=true;lon=-93.80459189936657;lat=41.55579970320655;from=01-01;to=12-31;index=NDVI;rgb=NIR%2FRED%2FGREEN;chipwidth=1;"), "landsat_chips")</f>
        <v>landsat_chips</v>
      </c>
      <c r="I56" s="4" t="str">
        <f>HYPERLINK(CONCATENATE("https://livingatlas.arcgis.com/wayback/#ext=-93.80559189936658,41.55679970320655,-93.80359189936657,41.554799703206555"), "wayback")</f>
        <v>wayback</v>
      </c>
      <c r="J56" s="9" t="s">
        <v>14</v>
      </c>
      <c r="L56" s="9" t="s">
        <v>31</v>
      </c>
    </row>
    <row r="57" spans="1:13">
      <c r="A57" s="1" t="s">
        <v>13</v>
      </c>
      <c r="B57" s="1">
        <v>56</v>
      </c>
      <c r="C57" s="1">
        <v>2011</v>
      </c>
      <c r="D57" s="1">
        <v>2012</v>
      </c>
      <c r="E57" s="1">
        <v>42.1625772677586</v>
      </c>
      <c r="F57" s="1">
        <v>-97.789690734600086</v>
      </c>
      <c r="G57" s="4" t="str">
        <f>HYPERLINK(CONCATENATE("https://ee-faluhong.projects.earthengine.app/view/isp-ts-evaluation#id=56 2011-&gt;2012;lat=42.1625772677586;lon=-97.78969073460009;year=2011;bf=7;level=18;"), "landsat_time_series")</f>
        <v>landsat_time_series</v>
      </c>
      <c r="H57" s="4" t="str">
        <f>HYPERLINK(CONCATENATE("https://jstnbraaten.users.earthengine.app/view/landsat-timeseries-explorer#run=true;lon=-97.78969073460009;lat=42.1625772677586;from=01-01;to=12-31;index=NDVI;rgb=NIR%2FRED%2FGREEN;chipwidth=1;"), "landsat_chips")</f>
        <v>landsat_chips</v>
      </c>
      <c r="I57" s="4" t="str">
        <f>HYPERLINK(CONCATENATE("https://livingatlas.arcgis.com/wayback/#ext=-97.79069073460009,42.1635772677586,-97.78869073460008,42.1615772677586"), "wayback")</f>
        <v>wayback</v>
      </c>
      <c r="J57" s="9" t="s">
        <v>17</v>
      </c>
      <c r="L57" s="9" t="s">
        <v>15</v>
      </c>
      <c r="M57" s="9" t="s">
        <v>18</v>
      </c>
    </row>
    <row r="58" spans="1:13">
      <c r="A58" s="1" t="s">
        <v>13</v>
      </c>
      <c r="B58" s="1">
        <v>57</v>
      </c>
      <c r="C58" s="1">
        <v>2000</v>
      </c>
      <c r="D58" s="1">
        <v>2001</v>
      </c>
      <c r="E58" s="1">
        <v>47.437652705948153</v>
      </c>
      <c r="F58" s="1">
        <v>-86.344832601003475</v>
      </c>
      <c r="G58" s="4" t="str">
        <f>HYPERLINK(CONCATENATE("https://ee-faluhong.projects.earthengine.app/view/isp-ts-evaluation#id=57 2000-&gt;2001;lat=47.43765270594815;lon=-86.34483260100347;year=2000;bf=7;level=18;"), "landsat_time_series")</f>
        <v>landsat_time_series</v>
      </c>
      <c r="H58" s="4" t="str">
        <f>HYPERLINK(CONCATENATE("https://jstnbraaten.users.earthengine.app/view/landsat-timeseries-explorer#run=true;lon=-86.34483260100347;lat=47.43765270594815;from=01-01;to=12-31;index=NDVI;rgb=NIR%2FRED%2FGREEN;chipwidth=1;"), "landsat_chips")</f>
        <v>landsat_chips</v>
      </c>
      <c r="I58" s="4" t="str">
        <f>HYPERLINK(CONCATENATE("https://livingatlas.arcgis.com/wayback/#ext=-86.34583260100348,47.43865270594815,-86.34383260100347,47.436652705948156"), "wayback")</f>
        <v>wayback</v>
      </c>
      <c r="J58" s="9" t="s">
        <v>19</v>
      </c>
      <c r="L58" s="9" t="s">
        <v>15</v>
      </c>
      <c r="M58" s="9" t="s">
        <v>41</v>
      </c>
    </row>
    <row r="59" spans="1:13">
      <c r="A59" s="1" t="s">
        <v>13</v>
      </c>
      <c r="B59" s="1">
        <v>58</v>
      </c>
      <c r="C59" s="1">
        <v>2007</v>
      </c>
      <c r="D59" s="1">
        <v>2008</v>
      </c>
      <c r="E59" s="1">
        <v>31.275550174772679</v>
      </c>
      <c r="F59" s="1">
        <v>-86.488203407646068</v>
      </c>
      <c r="G59" s="4" t="str">
        <f>HYPERLINK(CONCATENATE("https://ee-faluhong.projects.earthengine.app/view/isp-ts-evaluation#id=58 2007-&gt;2008;lat=31.27555017477268;lon=-86.48820340764607;year=2007;bf=7;level=18;"), "landsat_time_series")</f>
        <v>landsat_time_series</v>
      </c>
      <c r="H59" s="4" t="str">
        <f>HYPERLINK(CONCATENATE("https://jstnbraaten.users.earthengine.app/view/landsat-timeseries-explorer#run=true;lon=-86.48820340764607;lat=31.27555017477268;from=01-01;to=12-31;index=NDVI;rgb=NIR%2FRED%2FGREEN;chipwidth=1;"), "landsat_chips")</f>
        <v>landsat_chips</v>
      </c>
      <c r="I59" s="4" t="str">
        <f>HYPERLINK(CONCATENATE("https://livingatlas.arcgis.com/wayback/#ext=-86.48920340764607,31.27655017477268,-86.48720340764606,31.274550174772678"), "wayback")</f>
        <v>wayback</v>
      </c>
      <c r="J59" s="9" t="s">
        <v>19</v>
      </c>
      <c r="L59" s="9" t="s">
        <v>15</v>
      </c>
      <c r="M59" s="9" t="s">
        <v>33</v>
      </c>
    </row>
    <row r="60" spans="1:13">
      <c r="A60" s="1" t="s">
        <v>13</v>
      </c>
      <c r="B60" s="1">
        <v>59</v>
      </c>
      <c r="C60" s="1">
        <v>2000</v>
      </c>
      <c r="D60" s="1">
        <v>2001</v>
      </c>
      <c r="E60" s="1">
        <v>38.787160791977243</v>
      </c>
      <c r="F60" s="1">
        <v>-85.126101955972615</v>
      </c>
      <c r="G60" s="4" t="str">
        <f>HYPERLINK(CONCATENATE("https://ee-faluhong.projects.earthengine.app/view/isp-ts-evaluation#id=59 2000-&gt;2001;lat=38.78716079197724;lon=-85.12610195597262;year=2000;bf=7;level=18;"), "landsat_time_series")</f>
        <v>landsat_time_series</v>
      </c>
      <c r="H60" s="4" t="str">
        <f>HYPERLINK(CONCATENATE("https://jstnbraaten.users.earthengine.app/view/landsat-timeseries-explorer#run=true;lon=-85.12610195597262;lat=38.78716079197724;from=01-01;to=12-31;index=NDVI;rgb=NIR%2FRED%2FGREEN;chipwidth=1;"), "landsat_chips")</f>
        <v>landsat_chips</v>
      </c>
      <c r="I60" s="4" t="str">
        <f>HYPERLINK(CONCATENATE("https://livingatlas.arcgis.com/wayback/#ext=-85.12710195597262,38.78816079197724,-85.12510195597261,38.786160791977245"), "wayback")</f>
        <v>wayback</v>
      </c>
      <c r="J60" s="9" t="s">
        <v>17</v>
      </c>
      <c r="L60" s="9" t="s">
        <v>15</v>
      </c>
      <c r="M60" s="9" t="s">
        <v>18</v>
      </c>
    </row>
    <row r="61" spans="1:13">
      <c r="A61" s="1" t="s">
        <v>13</v>
      </c>
      <c r="B61" s="1">
        <v>60</v>
      </c>
      <c r="C61" s="1">
        <v>2004</v>
      </c>
      <c r="D61" s="1">
        <v>2005</v>
      </c>
      <c r="E61" s="1">
        <v>35.058585911960392</v>
      </c>
      <c r="F61" s="1">
        <v>-98.444762961721381</v>
      </c>
      <c r="G61" s="4" t="str">
        <f>HYPERLINK(CONCATENATE("https://ee-faluhong.projects.earthengine.app/view/isp-ts-evaluation#id=60 2004-&gt;2005;lat=35.05858591196039;lon=-98.44476296172138;year=2004;bf=7;level=18;"), "landsat_time_series")</f>
        <v>landsat_time_series</v>
      </c>
      <c r="H61" s="4" t="str">
        <f>HYPERLINK(CONCATENATE("https://jstnbraaten.users.earthengine.app/view/landsat-timeseries-explorer#run=true;lon=-98.44476296172138;lat=35.05858591196039;from=01-01;to=12-31;index=NDVI;rgb=NIR%2FRED%2FGREEN;chipwidth=1;"), "landsat_chips")</f>
        <v>landsat_chips</v>
      </c>
      <c r="I61" s="4" t="str">
        <f>HYPERLINK(CONCATENATE("https://livingatlas.arcgis.com/wayback/#ext=-98.44576296172139,35.05958591196039,-98.44376296172138,35.057585911960395"), "wayback")</f>
        <v>wayback</v>
      </c>
      <c r="J61" s="9" t="s">
        <v>17</v>
      </c>
      <c r="L61" s="9" t="s">
        <v>15</v>
      </c>
      <c r="M61" s="9" t="s">
        <v>18</v>
      </c>
    </row>
    <row r="62" spans="1:13">
      <c r="A62" s="1" t="s">
        <v>13</v>
      </c>
      <c r="B62" s="1">
        <v>61</v>
      </c>
      <c r="C62" s="1">
        <v>2016</v>
      </c>
      <c r="D62" s="1">
        <v>2017</v>
      </c>
      <c r="E62" s="1">
        <v>48.718080897819718</v>
      </c>
      <c r="F62" s="1">
        <v>-94.59656370137445</v>
      </c>
      <c r="G62" s="4" t="str">
        <f>HYPERLINK(CONCATENATE("https://ee-faluhong.projects.earthengine.app/view/isp-ts-evaluation#id=61 2016-&gt;2017;lat=48.71808089781972;lon=-94.59656370137445;year=2016;bf=7;level=18;"), "landsat_time_series")</f>
        <v>landsat_time_series</v>
      </c>
      <c r="H62" s="4" t="str">
        <f>HYPERLINK(CONCATENATE("https://jstnbraaten.users.earthengine.app/view/landsat-timeseries-explorer#run=true;lon=-94.59656370137445;lat=48.71808089781972;from=01-01;to=12-31;index=NDVI;rgb=NIR%2FRED%2FGREEN;chipwidth=1;"), "landsat_chips")</f>
        <v>landsat_chips</v>
      </c>
      <c r="I62" s="4" t="str">
        <f>HYPERLINK(CONCATENATE("https://livingatlas.arcgis.com/wayback/#ext=-94.59756370137445,48.719080897819715,-94.59556370137445,48.71708089781972"), "wayback")</f>
        <v>wayback</v>
      </c>
      <c r="J62" s="9" t="s">
        <v>21</v>
      </c>
      <c r="L62" s="9" t="s">
        <v>15</v>
      </c>
      <c r="M62" s="9" t="s">
        <v>18</v>
      </c>
    </row>
    <row r="63" spans="1:13">
      <c r="A63" s="1" t="s">
        <v>13</v>
      </c>
      <c r="B63" s="1">
        <v>62</v>
      </c>
      <c r="C63" s="1">
        <v>2004</v>
      </c>
      <c r="D63" s="1">
        <v>2005</v>
      </c>
      <c r="E63" s="1">
        <v>30.392633057985609</v>
      </c>
      <c r="F63" s="1">
        <v>-87.094627543954317</v>
      </c>
      <c r="G63" s="4" t="str">
        <f>HYPERLINK(CONCATENATE("https://ee-faluhong.projects.earthengine.app/view/isp-ts-evaluation#id=62 2004-&gt;2005;lat=30.39263305798561;lon=-87.09462754395432;year=2004;bf=7;level=18;"), "landsat_time_series")</f>
        <v>landsat_time_series</v>
      </c>
      <c r="H63" s="4" t="str">
        <f>HYPERLINK(CONCATENATE("https://jstnbraaten.users.earthengine.app/view/landsat-timeseries-explorer#run=true;lon=-87.09462754395432;lat=30.39263305798561;from=01-01;to=12-31;index=NDVI;rgb=NIR%2FRED%2FGREEN;chipwidth=1;"), "landsat_chips")</f>
        <v>landsat_chips</v>
      </c>
      <c r="I63" s="4" t="str">
        <f>HYPERLINK(CONCATENATE("https://livingatlas.arcgis.com/wayback/#ext=-87.09562754395432,30.39363305798561,-87.09362754395431,30.391633057985608"), "wayback")</f>
        <v>wayback</v>
      </c>
      <c r="J63" s="9" t="s">
        <v>19</v>
      </c>
      <c r="L63" s="9" t="s">
        <v>15</v>
      </c>
      <c r="M63" s="9" t="s">
        <v>18</v>
      </c>
    </row>
    <row r="64" spans="1:13">
      <c r="A64" s="1" t="s">
        <v>13</v>
      </c>
      <c r="B64" s="1">
        <v>63</v>
      </c>
      <c r="C64" s="1">
        <v>2000</v>
      </c>
      <c r="D64" s="1">
        <v>2001</v>
      </c>
      <c r="E64" s="1">
        <v>48.131425045022439</v>
      </c>
      <c r="F64" s="1">
        <v>-101.0937557854423</v>
      </c>
      <c r="G64" s="4" t="str">
        <f>HYPERLINK(CONCATENATE("https://ee-faluhong.projects.earthengine.app/view/isp-ts-evaluation#id=63 2000-&gt;2001;lat=48.13142504502244;lon=-101.0937557854423;year=2000;bf=7;level=18;"), "landsat_time_series")</f>
        <v>landsat_time_series</v>
      </c>
      <c r="H64" s="4" t="str">
        <f>HYPERLINK(CONCATENATE("https://jstnbraaten.users.earthengine.app/view/landsat-timeseries-explorer#run=true;lon=-101.0937557854423;lat=48.13142504502244;from=01-01;to=12-31;index=NDVI;rgb=NIR%2FRED%2FGREEN;chipwidth=1;"), "landsat_chips")</f>
        <v>landsat_chips</v>
      </c>
      <c r="I64" s="4" t="str">
        <f>HYPERLINK(CONCATENATE("https://livingatlas.arcgis.com/wayback/#ext=-101.0947557854423,48.13242504502244,-101.0927557854423,48.13042504502244"), "wayback")</f>
        <v>wayback</v>
      </c>
      <c r="J64" s="9" t="s">
        <v>19</v>
      </c>
      <c r="L64" s="9" t="s">
        <v>15</v>
      </c>
      <c r="M64" s="9" t="s">
        <v>22</v>
      </c>
    </row>
    <row r="65" spans="1:13">
      <c r="A65" s="1" t="s">
        <v>13</v>
      </c>
      <c r="B65" s="1">
        <v>64</v>
      </c>
      <c r="C65" s="1">
        <v>2001</v>
      </c>
      <c r="D65" s="1">
        <v>2002</v>
      </c>
      <c r="E65" s="1">
        <v>37.453900808422517</v>
      </c>
      <c r="F65" s="1">
        <v>-116.3240810632426</v>
      </c>
      <c r="G65" s="4" t="str">
        <f>HYPERLINK(CONCATENATE("https://ee-faluhong.projects.earthengine.app/view/isp-ts-evaluation#id=64 2001-&gt;2002;lat=37.45390080842252;lon=-116.3240810632426;year=2001;bf=7;level=18;"), "landsat_time_series")</f>
        <v>landsat_time_series</v>
      </c>
      <c r="H65" s="4" t="str">
        <f>HYPERLINK(CONCATENATE("https://jstnbraaten.users.earthengine.app/view/landsat-timeseries-explorer#run=true;lon=-116.3240810632426;lat=37.45390080842252;from=01-01;to=12-31;index=NDVI;rgb=NIR%2FRED%2FGREEN;chipwidth=1;"), "landsat_chips")</f>
        <v>landsat_chips</v>
      </c>
      <c r="I65" s="4" t="str">
        <f>HYPERLINK(CONCATENATE("https://livingatlas.arcgis.com/wayback/#ext=-116.3250810632426,37.454900808422515,-116.3230810632426,37.45290080842252"), "wayback")</f>
        <v>wayback</v>
      </c>
      <c r="J65" s="9" t="s">
        <v>19</v>
      </c>
      <c r="L65" s="9" t="s">
        <v>15</v>
      </c>
      <c r="M65" s="9" t="s">
        <v>33</v>
      </c>
    </row>
    <row r="66" spans="1:13">
      <c r="A66" s="1" t="s">
        <v>13</v>
      </c>
      <c r="B66" s="1">
        <v>65</v>
      </c>
      <c r="C66" s="1">
        <v>2009</v>
      </c>
      <c r="D66" s="1">
        <v>2010</v>
      </c>
      <c r="E66" s="1">
        <v>32.592312788768872</v>
      </c>
      <c r="F66" s="1">
        <v>-88.474434365014247</v>
      </c>
      <c r="G66" s="4" t="str">
        <f>HYPERLINK(CONCATENATE("https://ee-faluhong.projects.earthengine.app/view/isp-ts-evaluation#id=65 2009-&gt;2010;lat=32.59231278876887;lon=-88.47443436501425;year=2009;bf=7;level=18;"), "landsat_time_series")</f>
        <v>landsat_time_series</v>
      </c>
      <c r="H66" s="4" t="str">
        <f>HYPERLINK(CONCATENATE("https://jstnbraaten.users.earthengine.app/view/landsat-timeseries-explorer#run=true;lon=-88.47443436501425;lat=32.59231278876887;from=01-01;to=12-31;index=NDVI;rgb=NIR%2FRED%2FGREEN;chipwidth=1;"), "landsat_chips")</f>
        <v>landsat_chips</v>
      </c>
      <c r="I66" s="4" t="str">
        <f>HYPERLINK(CONCATENATE("https://livingatlas.arcgis.com/wayback/#ext=-88.47543436501425,32.59331278876887,-88.47343436501424,32.591312788768874"), "wayback")</f>
        <v>wayback</v>
      </c>
      <c r="J66" s="9" t="s">
        <v>19</v>
      </c>
      <c r="L66" s="9" t="s">
        <v>15</v>
      </c>
      <c r="M66" s="9" t="s">
        <v>33</v>
      </c>
    </row>
    <row r="67" spans="1:13">
      <c r="A67" s="1" t="s">
        <v>13</v>
      </c>
      <c r="B67" s="1">
        <v>66</v>
      </c>
      <c r="C67" s="1">
        <v>2009</v>
      </c>
      <c r="D67" s="1">
        <v>2010</v>
      </c>
      <c r="E67" s="1">
        <v>34.408461757688549</v>
      </c>
      <c r="F67" s="1">
        <v>-87.519267646622865</v>
      </c>
      <c r="G67" s="4" t="str">
        <f>HYPERLINK(CONCATENATE("https://ee-faluhong.projects.earthengine.app/view/isp-ts-evaluation#id=66 2009-&gt;2010;lat=34.40846175768855;lon=-87.51926764662286;year=2009;bf=7;level=18;"), "landsat_time_series")</f>
        <v>landsat_time_series</v>
      </c>
      <c r="H67" s="4" t="str">
        <f>HYPERLINK(CONCATENATE("https://jstnbraaten.users.earthengine.app/view/landsat-timeseries-explorer#run=true;lon=-87.51926764662286;lat=34.40846175768855;from=01-01;to=12-31;index=NDVI;rgb=NIR%2FRED%2FGREEN;chipwidth=1;"), "landsat_chips")</f>
        <v>landsat_chips</v>
      </c>
      <c r="I67" s="4" t="str">
        <f>HYPERLINK(CONCATENATE("https://livingatlas.arcgis.com/wayback/#ext=-87.52026764662287,34.40946175768855,-87.51826764662286,34.40746175768855"), "wayback")</f>
        <v>wayback</v>
      </c>
      <c r="J67" s="9" t="s">
        <v>19</v>
      </c>
      <c r="L67" s="9" t="s">
        <v>15</v>
      </c>
      <c r="M67" s="9" t="s">
        <v>20</v>
      </c>
    </row>
    <row r="68" spans="1:13">
      <c r="A68" s="1" t="s">
        <v>13</v>
      </c>
      <c r="B68" s="1">
        <v>67</v>
      </c>
      <c r="C68" s="1">
        <v>2000</v>
      </c>
      <c r="D68" s="1">
        <v>2001</v>
      </c>
      <c r="E68" s="1">
        <v>33.019443959097543</v>
      </c>
      <c r="F68" s="1">
        <v>-97.113802717537524</v>
      </c>
      <c r="G68" s="4" t="str">
        <f>HYPERLINK(CONCATENATE("https://ee-faluhong.projects.earthengine.app/view/isp-ts-evaluation#id=67 2000-&gt;2001;lat=33.01944395909754;lon=-97.11380271753752;year=2000;bf=7;level=18;"), "landsat_time_series")</f>
        <v>landsat_time_series</v>
      </c>
      <c r="H68" s="4" t="str">
        <f>HYPERLINK(CONCATENATE("https://jstnbraaten.users.earthengine.app/view/landsat-timeseries-explorer#run=true;lon=-97.11380271753752;lat=33.01944395909754;from=01-01;to=12-31;index=NDVI;rgb=NIR%2FRED%2FGREEN;chipwidth=1;"), "landsat_chips")</f>
        <v>landsat_chips</v>
      </c>
      <c r="I68" s="4" t="str">
        <f>HYPERLINK(CONCATENATE("https://livingatlas.arcgis.com/wayback/#ext=-97.11480271753753,33.02044395909754,-97.11280271753752,33.018443959097546"), "wayback")</f>
        <v>wayback</v>
      </c>
      <c r="J68" s="9" t="s">
        <v>14</v>
      </c>
      <c r="L68" s="9" t="s">
        <v>15</v>
      </c>
      <c r="M68" s="9" t="s">
        <v>42</v>
      </c>
    </row>
    <row r="69" spans="1:13">
      <c r="A69" s="1" t="s">
        <v>13</v>
      </c>
      <c r="B69" s="1">
        <v>68</v>
      </c>
      <c r="C69" s="1">
        <v>2016</v>
      </c>
      <c r="D69" s="1">
        <v>2017</v>
      </c>
      <c r="E69" s="1">
        <v>30.320691677783131</v>
      </c>
      <c r="F69" s="1">
        <v>-96.385280835361542</v>
      </c>
      <c r="G69" s="4" t="str">
        <f>HYPERLINK(CONCATENATE("https://ee-faluhong.projects.earthengine.app/view/isp-ts-evaluation#id=68 2016-&gt;2017;lat=30.32069167778313;lon=-96.38528083536154;year=2016;bf=7;level=18;"), "landsat_time_series")</f>
        <v>landsat_time_series</v>
      </c>
      <c r="H69" s="4" t="str">
        <f>HYPERLINK(CONCATENATE("https://jstnbraaten.users.earthengine.app/view/landsat-timeseries-explorer#run=true;lon=-96.38528083536154;lat=30.32069167778313;from=01-01;to=12-31;index=NDVI;rgb=NIR%2FRED%2FGREEN;chipwidth=1;"), "landsat_chips")</f>
        <v>landsat_chips</v>
      </c>
      <c r="I69" s="4" t="str">
        <f>HYPERLINK(CONCATENATE("https://livingatlas.arcgis.com/wayback/#ext=-96.38628083536155,30.321691677783132,-96.38428083536154,30.31969167778313"), "wayback")</f>
        <v>wayback</v>
      </c>
      <c r="J69" s="9" t="s">
        <v>14</v>
      </c>
      <c r="L69" s="9" t="s">
        <v>15</v>
      </c>
      <c r="M69" s="9" t="s">
        <v>42</v>
      </c>
    </row>
    <row r="70" spans="1:13">
      <c r="A70" s="1" t="s">
        <v>13</v>
      </c>
      <c r="B70" s="1">
        <v>69</v>
      </c>
      <c r="C70" s="1">
        <v>2001</v>
      </c>
      <c r="D70" s="1">
        <v>2002</v>
      </c>
      <c r="E70" s="1">
        <v>26.168770853843121</v>
      </c>
      <c r="F70" s="1">
        <v>-98.042305899254529</v>
      </c>
      <c r="G70" s="4" t="str">
        <f>HYPERLINK(CONCATENATE("https://ee-faluhong.projects.earthengine.app/view/isp-ts-evaluation#id=69 2001-&gt;2002;lat=26.16877085384312;lon=-98.04230589925453;year=2001;bf=7;level=18;"), "landsat_time_series")</f>
        <v>landsat_time_series</v>
      </c>
      <c r="H70" s="4" t="str">
        <f>HYPERLINK(CONCATENATE("https://jstnbraaten.users.earthengine.app/view/landsat-timeseries-explorer#run=true;lon=-98.04230589925453;lat=26.16877085384312;from=01-01;to=12-31;index=NDVI;rgb=NIR%2FRED%2FGREEN;chipwidth=1;"), "landsat_chips")</f>
        <v>landsat_chips</v>
      </c>
      <c r="I70" s="4" t="str">
        <f>HYPERLINK(CONCATENATE("https://livingatlas.arcgis.com/wayback/#ext=-98.04330589925453,26.169770853843122,-98.04130589925452,26.16777085384312"), "wayback")</f>
        <v>wayback</v>
      </c>
      <c r="J70" s="9" t="s">
        <v>21</v>
      </c>
      <c r="L70" s="9" t="s">
        <v>15</v>
      </c>
      <c r="M70" s="9" t="s">
        <v>18</v>
      </c>
    </row>
    <row r="71" spans="1:13">
      <c r="A71" s="1" t="s">
        <v>13</v>
      </c>
      <c r="B71" s="1">
        <v>70</v>
      </c>
      <c r="C71" s="1">
        <v>2006</v>
      </c>
      <c r="D71" s="1">
        <v>2007</v>
      </c>
      <c r="E71" s="1">
        <v>34.12084808629735</v>
      </c>
      <c r="F71" s="1">
        <v>-93.423763688416074</v>
      </c>
      <c r="G71" s="4" t="str">
        <f>HYPERLINK(CONCATENATE("https://ee-faluhong.projects.earthengine.app/view/isp-ts-evaluation#id=70 2006-&gt;2007;lat=34.12084808629735;lon=-93.42376368841607;year=2006;bf=7;level=18;"), "landsat_time_series")</f>
        <v>landsat_time_series</v>
      </c>
      <c r="H71" s="4" t="str">
        <f>HYPERLINK(CONCATENATE("https://jstnbraaten.users.earthengine.app/view/landsat-timeseries-explorer#run=true;lon=-93.42376368841607;lat=34.12084808629735;from=01-01;to=12-31;index=NDVI;rgb=NIR%2FRED%2FGREEN;chipwidth=1;"), "landsat_chips")</f>
        <v>landsat_chips</v>
      </c>
      <c r="I71" s="4" t="str">
        <f>HYPERLINK(CONCATENATE("https://livingatlas.arcgis.com/wayback/#ext=-93.42476368841608,34.12184808629735,-93.42276368841607,34.11984808629735"), "wayback")</f>
        <v>wayback</v>
      </c>
      <c r="J71" s="9" t="s">
        <v>25</v>
      </c>
      <c r="K71" s="9" t="s">
        <v>26</v>
      </c>
      <c r="L71" s="9" t="s">
        <v>15</v>
      </c>
      <c r="M71" s="9" t="s">
        <v>18</v>
      </c>
    </row>
    <row r="72" spans="1:13">
      <c r="A72" s="1" t="s">
        <v>13</v>
      </c>
      <c r="B72" s="1">
        <v>71</v>
      </c>
      <c r="C72" s="1">
        <v>2013</v>
      </c>
      <c r="D72" s="1">
        <v>2014</v>
      </c>
      <c r="E72" s="1">
        <v>33.622395413339632</v>
      </c>
      <c r="F72" s="1">
        <v>-80.438868839010922</v>
      </c>
      <c r="G72" s="4" t="str">
        <f>HYPERLINK(CONCATENATE("https://ee-faluhong.projects.earthengine.app/view/isp-ts-evaluation#id=71 2013-&gt;2014;lat=33.62239541333963;lon=-80.43886883901092;year=2013;bf=7;level=18;"), "landsat_time_series")</f>
        <v>landsat_time_series</v>
      </c>
      <c r="H72" s="4" t="str">
        <f>HYPERLINK(CONCATENATE("https://jstnbraaten.users.earthengine.app/view/landsat-timeseries-explorer#run=true;lon=-80.43886883901092;lat=33.62239541333963;from=01-01;to=12-31;index=NDVI;rgb=NIR%2FRED%2FGREEN;chipwidth=1;"), "landsat_chips")</f>
        <v>landsat_chips</v>
      </c>
      <c r="I72" s="4" t="str">
        <f>HYPERLINK(CONCATENATE("https://livingatlas.arcgis.com/wayback/#ext=-80.43986883901093,33.62339541333963,-80.43786883901092,33.621395413339634"), "wayback")</f>
        <v>wayback</v>
      </c>
      <c r="J72" s="9" t="s">
        <v>19</v>
      </c>
      <c r="L72" s="9" t="s">
        <v>15</v>
      </c>
      <c r="M72" s="9" t="s">
        <v>20</v>
      </c>
    </row>
    <row r="73" spans="1:13">
      <c r="A73" s="1" t="s">
        <v>13</v>
      </c>
      <c r="B73" s="1">
        <v>72</v>
      </c>
      <c r="C73" s="1">
        <v>2000</v>
      </c>
      <c r="D73" s="1">
        <v>2001</v>
      </c>
      <c r="E73" s="1">
        <v>30.009385807981069</v>
      </c>
      <c r="F73" s="1">
        <v>-89.847951315576537</v>
      </c>
      <c r="G73" s="4" t="str">
        <f>HYPERLINK(CONCATENATE("https://ee-faluhong.projects.earthengine.app/view/isp-ts-evaluation#id=72 2000-&gt;2001;lat=30.00938580798107;lon=-89.84795131557654;year=2000;bf=7;level=18;"), "landsat_time_series")</f>
        <v>landsat_time_series</v>
      </c>
      <c r="H73" s="4" t="str">
        <f>HYPERLINK(CONCATENATE("https://jstnbraaten.users.earthengine.app/view/landsat-timeseries-explorer#run=true;lon=-89.84795131557654;lat=30.00938580798107;from=01-01;to=12-31;index=NDVI;rgb=NIR%2FRED%2FGREEN;chipwidth=1;"), "landsat_chips")</f>
        <v>landsat_chips</v>
      </c>
      <c r="I73" s="4" t="str">
        <f>HYPERLINK(CONCATENATE("https://livingatlas.arcgis.com/wayback/#ext=-89.84895131557654,30.01038580798107,-89.84695131557653,30.008385807981067"), "wayback")</f>
        <v>wayback</v>
      </c>
      <c r="J73" s="9" t="s">
        <v>19</v>
      </c>
      <c r="L73" s="9" t="s">
        <v>15</v>
      </c>
      <c r="M73" s="9" t="s">
        <v>43</v>
      </c>
    </row>
    <row r="74" spans="1:13">
      <c r="A74" s="1" t="s">
        <v>13</v>
      </c>
      <c r="B74" s="1">
        <v>73</v>
      </c>
      <c r="C74" s="1">
        <v>2013</v>
      </c>
      <c r="D74" s="1">
        <v>2014</v>
      </c>
      <c r="E74" s="1">
        <v>38.457417752263098</v>
      </c>
      <c r="F74" s="1">
        <v>-89.037765347569632</v>
      </c>
      <c r="G74" s="4" t="str">
        <f>HYPERLINK(CONCATENATE("https://ee-faluhong.projects.earthengine.app/view/isp-ts-evaluation#id=73 2013-&gt;2014;lat=38.4574177522631;lon=-89.03776534756963;year=2013;bf=7;level=18;"), "landsat_time_series")</f>
        <v>landsat_time_series</v>
      </c>
      <c r="H74" s="4" t="str">
        <f>HYPERLINK(CONCATENATE("https://jstnbraaten.users.earthengine.app/view/landsat-timeseries-explorer#run=true;lon=-89.03776534756963;lat=38.4574177522631;from=01-01;to=12-31;index=NDVI;rgb=NIR%2FRED%2FGREEN;chipwidth=1;"), "landsat_chips")</f>
        <v>landsat_chips</v>
      </c>
      <c r="I74" s="4" t="str">
        <f>HYPERLINK(CONCATENATE("https://livingatlas.arcgis.com/wayback/#ext=-89.03876534756964,38.458417752263095,-89.03676534756963,38.4564177522631"), "wayback")</f>
        <v>wayback</v>
      </c>
      <c r="J74" s="9" t="s">
        <v>19</v>
      </c>
      <c r="L74" s="9" t="s">
        <v>15</v>
      </c>
      <c r="M74" s="9" t="s">
        <v>20</v>
      </c>
    </row>
    <row r="75" spans="1:13">
      <c r="A75" s="1" t="s">
        <v>13</v>
      </c>
      <c r="B75" s="1">
        <v>74</v>
      </c>
      <c r="C75" s="1">
        <v>2001</v>
      </c>
      <c r="D75" s="1">
        <v>2002</v>
      </c>
      <c r="E75" s="1">
        <v>34.367541211282393</v>
      </c>
      <c r="F75" s="1">
        <v>-88.848071722180251</v>
      </c>
      <c r="G75" s="4" t="str">
        <f>HYPERLINK(CONCATENATE("https://ee-faluhong.projects.earthengine.app/view/isp-ts-evaluation#id=74 2001-&gt;2002;lat=34.36754121128239;lon=-88.84807172218025;year=2001;bf=7;level=18;"), "landsat_time_series")</f>
        <v>landsat_time_series</v>
      </c>
      <c r="H75" s="4" t="str">
        <f>HYPERLINK(CONCATENATE("https://jstnbraaten.users.earthengine.app/view/landsat-timeseries-explorer#run=true;lon=-88.84807172218025;lat=34.36754121128239;from=01-01;to=12-31;index=NDVI;rgb=NIR%2FRED%2FGREEN;chipwidth=1;"), "landsat_chips")</f>
        <v>landsat_chips</v>
      </c>
      <c r="I75" s="4" t="str">
        <f>HYPERLINK(CONCATENATE("https://livingatlas.arcgis.com/wayback/#ext=-88.84907172218026,34.36854121128239,-88.84707172218025,34.366541211282396"), "wayback")</f>
        <v>wayback</v>
      </c>
      <c r="J75" s="9" t="s">
        <v>19</v>
      </c>
      <c r="L75" s="9" t="s">
        <v>15</v>
      </c>
      <c r="M75" s="9" t="s">
        <v>20</v>
      </c>
    </row>
    <row r="76" spans="1:13">
      <c r="A76" s="1" t="s">
        <v>13</v>
      </c>
      <c r="B76" s="1">
        <v>75</v>
      </c>
      <c r="C76" s="1">
        <v>2011</v>
      </c>
      <c r="D76" s="1">
        <v>2012</v>
      </c>
      <c r="E76" s="1">
        <v>41.188898492323943</v>
      </c>
      <c r="F76" s="1">
        <v>-100.36447432266399</v>
      </c>
      <c r="G76" s="4" t="str">
        <f>HYPERLINK(CONCATENATE("https://ee-faluhong.projects.earthengine.app/view/isp-ts-evaluation#id=75 2011-&gt;2012;lat=41.18889849232394;lon=-100.364474322664;year=2011;bf=7;level=18;"), "landsat_time_series")</f>
        <v>landsat_time_series</v>
      </c>
      <c r="H76" s="4" t="str">
        <f>HYPERLINK(CONCATENATE("https://jstnbraaten.users.earthengine.app/view/landsat-timeseries-explorer#run=true;lon=-100.364474322664;lat=41.18889849232394;from=01-01;to=12-31;index=NDVI;rgb=NIR%2FRED%2FGREEN;chipwidth=1;"), "landsat_chips")</f>
        <v>landsat_chips</v>
      </c>
      <c r="I76" s="4" t="str">
        <f>HYPERLINK(CONCATENATE("https://livingatlas.arcgis.com/wayback/#ext=-100.365474322664,41.18989849232394,-100.36347432266399,41.187898492323946"), "wayback")</f>
        <v>wayback</v>
      </c>
      <c r="J76" s="9" t="s">
        <v>19</v>
      </c>
      <c r="L76" s="9" t="s">
        <v>15</v>
      </c>
      <c r="M76" s="9" t="s">
        <v>20</v>
      </c>
    </row>
    <row r="77" spans="1:13">
      <c r="A77" s="1" t="s">
        <v>13</v>
      </c>
      <c r="B77" s="1">
        <v>76</v>
      </c>
      <c r="C77" s="1">
        <v>2019</v>
      </c>
      <c r="D77" s="1">
        <v>2020</v>
      </c>
      <c r="E77" s="1">
        <v>33.305567306615927</v>
      </c>
      <c r="F77" s="1">
        <v>-86.98161816342342</v>
      </c>
      <c r="G77" s="4" t="str">
        <f>HYPERLINK(CONCATENATE("https://ee-faluhong.projects.earthengine.app/view/isp-ts-evaluation#id=76 2019-&gt;2020;lat=33.30556730661593;lon=-86.98161816342342;year=2019;bf=7;level=18;"), "landsat_time_series")</f>
        <v>landsat_time_series</v>
      </c>
      <c r="H77" s="4" t="str">
        <f>HYPERLINK(CONCATENATE("https://jstnbraaten.users.earthengine.app/view/landsat-timeseries-explorer#run=true;lon=-86.98161816342342;lat=33.30556730661593;from=01-01;to=12-31;index=NDVI;rgb=NIR%2FRED%2FGREEN;chipwidth=1;"), "landsat_chips")</f>
        <v>landsat_chips</v>
      </c>
      <c r="I77" s="4" t="str">
        <f>HYPERLINK(CONCATENATE("https://livingatlas.arcgis.com/wayback/#ext=-86.98261816342342,33.306567306615925,-86.98061816342342,33.30456730661593"), "wayback")</f>
        <v>wayback</v>
      </c>
      <c r="J77" s="9" t="s">
        <v>14</v>
      </c>
      <c r="L77" s="9" t="s">
        <v>15</v>
      </c>
      <c r="M77" s="9" t="s">
        <v>16</v>
      </c>
    </row>
    <row r="78" spans="1:13">
      <c r="A78" s="1" t="s">
        <v>13</v>
      </c>
      <c r="B78" s="1">
        <v>77</v>
      </c>
      <c r="C78" s="1">
        <v>2012</v>
      </c>
      <c r="D78" s="1">
        <v>2013</v>
      </c>
      <c r="E78" s="1">
        <v>33.946870412752858</v>
      </c>
      <c r="F78" s="1">
        <v>-89.753317779557989</v>
      </c>
      <c r="G78" s="4" t="str">
        <f>HYPERLINK(CONCATENATE("https://ee-faluhong.projects.earthengine.app/view/isp-ts-evaluation#id=77 2012-&gt;2013;lat=33.94687041275286;lon=-89.75331777955799;year=2012;bf=7;level=18;"), "landsat_time_series")</f>
        <v>landsat_time_series</v>
      </c>
      <c r="H78" s="4" t="str">
        <f>HYPERLINK(CONCATENATE("https://jstnbraaten.users.earthengine.app/view/landsat-timeseries-explorer#run=true;lon=-89.75331777955799;lat=33.94687041275286;from=01-01;to=12-31;index=NDVI;rgb=NIR%2FRED%2FGREEN;chipwidth=1;"), "landsat_chips")</f>
        <v>landsat_chips</v>
      </c>
      <c r="I78" s="4" t="str">
        <f>HYPERLINK(CONCATENATE("https://livingatlas.arcgis.com/wayback/#ext=-89.754317779558,33.947870412752856,-89.75231777955798,33.94587041275286"), "wayback")</f>
        <v>wayback</v>
      </c>
      <c r="J78" s="9" t="s">
        <v>19</v>
      </c>
      <c r="L78" s="9" t="s">
        <v>15</v>
      </c>
      <c r="M78" s="9" t="s">
        <v>20</v>
      </c>
    </row>
    <row r="79" spans="1:13">
      <c r="A79" s="1" t="s">
        <v>13</v>
      </c>
      <c r="B79" s="1">
        <v>78</v>
      </c>
      <c r="C79" s="1">
        <v>2015</v>
      </c>
      <c r="D79" s="1">
        <v>2016</v>
      </c>
      <c r="E79" s="1">
        <v>39.428496699080569</v>
      </c>
      <c r="F79" s="1">
        <v>-74.81569474659365</v>
      </c>
      <c r="G79" s="4" t="str">
        <f>HYPERLINK(CONCATENATE("https://ee-faluhong.projects.earthengine.app/view/isp-ts-evaluation#id=78 2015-&gt;2016;lat=39.42849669908057;lon=-74.81569474659365;year=2015;bf=7;level=18;"), "landsat_time_series")</f>
        <v>landsat_time_series</v>
      </c>
      <c r="H79" s="4" t="str">
        <f>HYPERLINK(CONCATENATE("https://jstnbraaten.users.earthengine.app/view/landsat-timeseries-explorer#run=true;lon=-74.81569474659365;lat=39.42849669908057;from=01-01;to=12-31;index=NDVI;rgb=NIR%2FRED%2FGREEN;chipwidth=1;"), "landsat_chips")</f>
        <v>landsat_chips</v>
      </c>
      <c r="I79" s="4" t="str">
        <f>HYPERLINK(CONCATENATE("https://livingatlas.arcgis.com/wayback/#ext=-74.81669474659365,39.429496699080566,-74.81469474659364,39.42749669908057"), "wayback")</f>
        <v>wayback</v>
      </c>
      <c r="J79" s="9" t="s">
        <v>17</v>
      </c>
      <c r="L79" s="9" t="s">
        <v>15</v>
      </c>
      <c r="M79" s="9" t="s">
        <v>18</v>
      </c>
    </row>
    <row r="80" spans="1:13">
      <c r="A80" s="1" t="s">
        <v>13</v>
      </c>
      <c r="B80" s="1">
        <v>79</v>
      </c>
      <c r="C80" s="1">
        <v>2010</v>
      </c>
      <c r="D80" s="1">
        <v>2011</v>
      </c>
      <c r="E80" s="1">
        <v>34.071463398524607</v>
      </c>
      <c r="F80" s="1">
        <v>-118.6154780658194</v>
      </c>
      <c r="G80" s="4" t="str">
        <f>HYPERLINK(CONCATENATE("https://ee-faluhong.projects.earthengine.app/view/isp-ts-evaluation#id=79 2010-&gt;2011;lat=34.07146339852461;lon=-118.6154780658194;year=2010;bf=7;level=18;"), "landsat_time_series")</f>
        <v>landsat_time_series</v>
      </c>
      <c r="H80" s="4" t="str">
        <f>HYPERLINK(CONCATENATE("https://jstnbraaten.users.earthengine.app/view/landsat-timeseries-explorer#run=true;lon=-118.6154780658194;lat=34.07146339852461;from=01-01;to=12-31;index=NDVI;rgb=NIR%2FRED%2FGREEN;chipwidth=1;"), "landsat_chips")</f>
        <v>landsat_chips</v>
      </c>
      <c r="I80" s="4" t="str">
        <f>HYPERLINK(CONCATENATE("https://livingatlas.arcgis.com/wayback/#ext=-118.61647806581941,34.072463398524604,-118.6144780658194,34.07046339852461"), "wayback")</f>
        <v>wayback</v>
      </c>
      <c r="J80" s="9" t="s">
        <v>17</v>
      </c>
      <c r="L80" s="9" t="s">
        <v>15</v>
      </c>
      <c r="M80" s="9" t="s">
        <v>38</v>
      </c>
    </row>
    <row r="81" spans="1:13">
      <c r="A81" s="1" t="s">
        <v>13</v>
      </c>
      <c r="B81" s="1">
        <v>80</v>
      </c>
      <c r="C81" s="1">
        <v>2004</v>
      </c>
      <c r="D81" s="1">
        <v>2005</v>
      </c>
      <c r="E81" s="1">
        <v>25.90763235218256</v>
      </c>
      <c r="F81" s="1">
        <v>-80.153759910057104</v>
      </c>
      <c r="G81" s="4" t="str">
        <f>HYPERLINK(CONCATENATE("https://ee-faluhong.projects.earthengine.app/view/isp-ts-evaluation#id=80 2004-&gt;2005;lat=25.90763235218256;lon=-80.1537599100571;year=2004;bf=7;level=18;"), "landsat_time_series")</f>
        <v>landsat_time_series</v>
      </c>
      <c r="H81" s="4" t="str">
        <f>HYPERLINK(CONCATENATE("https://jstnbraaten.users.earthengine.app/view/landsat-timeseries-explorer#run=true;lon=-80.1537599100571;lat=25.90763235218256;from=01-01;to=12-31;index=NDVI;rgb=NIR%2FRED%2FGREEN;chipwidth=1;"), "landsat_chips")</f>
        <v>landsat_chips</v>
      </c>
      <c r="I81" s="4" t="str">
        <f>HYPERLINK(CONCATENATE("https://livingatlas.arcgis.com/wayback/#ext=-80.15475991005711,25.90863235218256,-80.1527599100571,25.90663235218256"), "wayback")</f>
        <v>wayback</v>
      </c>
      <c r="J81" s="9" t="s">
        <v>14</v>
      </c>
      <c r="L81" s="9" t="s">
        <v>15</v>
      </c>
      <c r="M81" s="9" t="s">
        <v>20</v>
      </c>
    </row>
    <row r="82" spans="1:13">
      <c r="A82" s="1" t="s">
        <v>13</v>
      </c>
      <c r="B82" s="1">
        <v>81</v>
      </c>
      <c r="C82" s="1">
        <v>2010</v>
      </c>
      <c r="D82" s="1">
        <v>2011</v>
      </c>
      <c r="E82" s="1">
        <v>33.362298333521572</v>
      </c>
      <c r="F82" s="1">
        <v>-94.022540797363718</v>
      </c>
      <c r="G82" s="4" t="str">
        <f>HYPERLINK(CONCATENATE("https://ee-faluhong.projects.earthengine.app/view/isp-ts-evaluation#id=81 2010-&gt;2011;lat=33.36229833352157;lon=-94.02254079736372;year=2010;bf=7;level=18;"), "landsat_time_series")</f>
        <v>landsat_time_series</v>
      </c>
      <c r="H82" s="4" t="str">
        <f>HYPERLINK(CONCATENATE("https://jstnbraaten.users.earthengine.app/view/landsat-timeseries-explorer#run=true;lon=-94.02254079736372;lat=33.36229833352157;from=01-01;to=12-31;index=NDVI;rgb=NIR%2FRED%2FGREEN;chipwidth=1;"), "landsat_chips")</f>
        <v>landsat_chips</v>
      </c>
      <c r="I82" s="4" t="str">
        <f>HYPERLINK(CONCATENATE("https://livingatlas.arcgis.com/wayback/#ext=-94.02354079736372,33.36329833352157,-94.02154079736371,33.361298333521574"), "wayback")</f>
        <v>wayback</v>
      </c>
      <c r="J82" s="9" t="s">
        <v>19</v>
      </c>
      <c r="L82" s="9" t="s">
        <v>15</v>
      </c>
      <c r="M82" s="9" t="s">
        <v>20</v>
      </c>
    </row>
    <row r="83" spans="1:13">
      <c r="A83" s="1" t="s">
        <v>13</v>
      </c>
      <c r="B83" s="1">
        <v>82</v>
      </c>
      <c r="C83" s="1">
        <v>2013</v>
      </c>
      <c r="D83" s="1">
        <v>2014</v>
      </c>
      <c r="E83" s="1">
        <v>33.414401106330658</v>
      </c>
      <c r="F83" s="1">
        <v>-97.747187313817108</v>
      </c>
      <c r="G83" s="4" t="str">
        <f>HYPERLINK(CONCATENATE("https://ee-faluhong.projects.earthengine.app/view/isp-ts-evaluation#id=82 2013-&gt;2014;lat=33.41440110633066;lon=-97.74718731381711;year=2013;bf=7;level=18;"), "landsat_time_series")</f>
        <v>landsat_time_series</v>
      </c>
      <c r="H83" s="4" t="str">
        <f>HYPERLINK(CONCATENATE("https://jstnbraaten.users.earthengine.app/view/landsat-timeseries-explorer#run=true;lon=-97.74718731381711;lat=33.41440110633066;from=01-01;to=12-31;index=NDVI;rgb=NIR%2FRED%2FGREEN;chipwidth=1;"), "landsat_chips")</f>
        <v>landsat_chips</v>
      </c>
      <c r="I83" s="4" t="str">
        <f>HYPERLINK(CONCATENATE("https://livingatlas.arcgis.com/wayback/#ext=-97.74818731381711,33.415401106330656,-97.7461873138171,33.41340110633066"), "wayback")</f>
        <v>wayback</v>
      </c>
      <c r="J83" s="9" t="s">
        <v>14</v>
      </c>
      <c r="L83" s="9" t="s">
        <v>15</v>
      </c>
      <c r="M83" s="9" t="s">
        <v>22</v>
      </c>
    </row>
    <row r="84" spans="1:13">
      <c r="A84" s="1" t="s">
        <v>13</v>
      </c>
      <c r="B84" s="1">
        <v>83</v>
      </c>
      <c r="C84" s="1">
        <v>2013</v>
      </c>
      <c r="D84" s="1">
        <v>2014</v>
      </c>
      <c r="E84" s="1">
        <v>37.949900124314397</v>
      </c>
      <c r="F84" s="1">
        <v>-77.997030721834221</v>
      </c>
      <c r="G84" s="4" t="str">
        <f>HYPERLINK(CONCATENATE("https://ee-faluhong.projects.earthengine.app/view/isp-ts-evaluation#id=83 2013-&gt;2014;lat=37.9499001243144;lon=-77.99703072183422;year=2013;bf=7;level=18;"), "landsat_time_series")</f>
        <v>landsat_time_series</v>
      </c>
      <c r="H84" s="4" t="str">
        <f>HYPERLINK(CONCATENATE("https://jstnbraaten.users.earthengine.app/view/landsat-timeseries-explorer#run=true;lon=-77.99703072183422;lat=37.9499001243144;from=01-01;to=12-31;index=NDVI;rgb=NIR%2FRED%2FGREEN;chipwidth=1;"), "landsat_chips")</f>
        <v>landsat_chips</v>
      </c>
      <c r="I84" s="4" t="str">
        <f>HYPERLINK(CONCATENATE("https://livingatlas.arcgis.com/wayback/#ext=-77.99803072183423,37.950900124314394,-77.99603072183422,37.9489001243144"), "wayback")</f>
        <v>wayback</v>
      </c>
      <c r="J84" s="9" t="s">
        <v>19</v>
      </c>
      <c r="L84" s="9" t="s">
        <v>15</v>
      </c>
      <c r="M84" s="9" t="s">
        <v>20</v>
      </c>
    </row>
    <row r="85" spans="1:13">
      <c r="A85" s="1" t="s">
        <v>13</v>
      </c>
      <c r="B85" s="1">
        <v>84</v>
      </c>
      <c r="C85" s="1">
        <v>2008</v>
      </c>
      <c r="D85" s="1">
        <v>2009</v>
      </c>
      <c r="E85" s="1">
        <v>40.766212525889337</v>
      </c>
      <c r="F85" s="1">
        <v>-91.754053802009139</v>
      </c>
      <c r="G85" s="4" t="str">
        <f>HYPERLINK(CONCATENATE("https://ee-faluhong.projects.earthengine.app/view/isp-ts-evaluation#id=84 2008-&gt;2009;lat=40.76621252588934;lon=-91.75405380200914;year=2008;bf=7;level=18;"), "landsat_time_series")</f>
        <v>landsat_time_series</v>
      </c>
      <c r="H85" s="4" t="str">
        <f>HYPERLINK(CONCATENATE("https://jstnbraaten.users.earthengine.app/view/landsat-timeseries-explorer#run=true;lon=-91.75405380200914;lat=40.76621252588934;from=01-01;to=12-31;index=NDVI;rgb=NIR%2FRED%2FGREEN;chipwidth=1;"), "landsat_chips")</f>
        <v>landsat_chips</v>
      </c>
      <c r="I85" s="4" t="str">
        <f>HYPERLINK(CONCATENATE("https://livingatlas.arcgis.com/wayback/#ext=-91.75505380200914,40.767212525889335,-91.75305380200913,40.76521252588934"), "wayback")</f>
        <v>wayback</v>
      </c>
      <c r="J85" s="9" t="s">
        <v>19</v>
      </c>
      <c r="L85" s="9" t="s">
        <v>15</v>
      </c>
      <c r="M85" s="9" t="s">
        <v>22</v>
      </c>
    </row>
    <row r="86" spans="1:13">
      <c r="A86" s="1" t="s">
        <v>13</v>
      </c>
      <c r="B86" s="1">
        <v>85</v>
      </c>
      <c r="C86" s="1">
        <v>2000</v>
      </c>
      <c r="D86" s="1">
        <v>2001</v>
      </c>
      <c r="E86" s="1">
        <v>36.08319078439262</v>
      </c>
      <c r="F86" s="1">
        <v>-79.967198002412744</v>
      </c>
      <c r="G86" s="4" t="str">
        <f>HYPERLINK(CONCATENATE("https://ee-faluhong.projects.earthengine.app/view/isp-ts-evaluation#id=85 2000-&gt;2001;lat=36.08319078439262;lon=-79.96719800241274;year=2000;bf=7;level=18;"), "landsat_time_series")</f>
        <v>landsat_time_series</v>
      </c>
      <c r="H86" s="4" t="str">
        <f>HYPERLINK(CONCATENATE("https://jstnbraaten.users.earthengine.app/view/landsat-timeseries-explorer#run=true;lon=-79.96719800241274;lat=36.08319078439262;from=01-01;to=12-31;index=NDVI;rgb=NIR%2FRED%2FGREEN;chipwidth=1;"), "landsat_chips")</f>
        <v>landsat_chips</v>
      </c>
      <c r="I86" s="4" t="str">
        <f>HYPERLINK(CONCATENATE("https://livingatlas.arcgis.com/wayback/#ext=-79.96819800241275,36.08419078439262,-79.96619800241274,36.08219078439262"), "wayback")</f>
        <v>wayback</v>
      </c>
      <c r="J86" s="9" t="s">
        <v>21</v>
      </c>
      <c r="L86" s="9" t="s">
        <v>15</v>
      </c>
      <c r="M86" s="9" t="s">
        <v>18</v>
      </c>
    </row>
    <row r="87" spans="1:13">
      <c r="A87" s="1" t="s">
        <v>13</v>
      </c>
      <c r="B87" s="1">
        <v>86</v>
      </c>
      <c r="C87" s="1">
        <v>2005</v>
      </c>
      <c r="D87" s="1">
        <v>2006</v>
      </c>
      <c r="E87" s="1">
        <v>31.620668767698461</v>
      </c>
      <c r="F87" s="1">
        <v>-81.901012582103817</v>
      </c>
      <c r="G87" s="4" t="str">
        <f>HYPERLINK(CONCATENATE("https://ee-faluhong.projects.earthengine.app/view/isp-ts-evaluation#id=86 2005-&gt;2006;lat=31.62066876769846;lon=-81.90101258210382;year=2005;bf=7;level=18;"), "landsat_time_series")</f>
        <v>landsat_time_series</v>
      </c>
      <c r="H87" s="4" t="str">
        <f>HYPERLINK(CONCATENATE("https://jstnbraaten.users.earthengine.app/view/landsat-timeseries-explorer#run=true;lon=-81.90101258210382;lat=31.62066876769846;from=01-01;to=12-31;index=NDVI;rgb=NIR%2FRED%2FGREEN;chipwidth=1;"), "landsat_chips")</f>
        <v>landsat_chips</v>
      </c>
      <c r="I87" s="4" t="str">
        <f>HYPERLINK(CONCATENATE("https://livingatlas.arcgis.com/wayback/#ext=-81.90201258210382,31.621668767698463,-81.90001258210381,31.61966876769846"), "wayback")</f>
        <v>wayback</v>
      </c>
      <c r="J87" s="9" t="s">
        <v>25</v>
      </c>
      <c r="K87" s="9" t="s">
        <v>40</v>
      </c>
      <c r="L87" s="9" t="s">
        <v>15</v>
      </c>
      <c r="M87" s="9" t="s">
        <v>36</v>
      </c>
    </row>
    <row r="88" spans="1:13">
      <c r="A88" s="1" t="s">
        <v>13</v>
      </c>
      <c r="B88" s="1">
        <v>87</v>
      </c>
      <c r="C88" s="1">
        <v>2013</v>
      </c>
      <c r="D88" s="1">
        <v>2014</v>
      </c>
      <c r="E88" s="1">
        <v>39.980762937806418</v>
      </c>
      <c r="F88" s="1">
        <v>-97.548529940366564</v>
      </c>
      <c r="G88" s="4" t="str">
        <f>HYPERLINK(CONCATENATE("https://ee-faluhong.projects.earthengine.app/view/isp-ts-evaluation#id=87 2013-&gt;2014;lat=39.98076293780642;lon=-97.54852994036656;year=2013;bf=7;level=18;"), "landsat_time_series")</f>
        <v>landsat_time_series</v>
      </c>
      <c r="H88" s="4" t="str">
        <f>HYPERLINK(CONCATENATE("https://jstnbraaten.users.earthengine.app/view/landsat-timeseries-explorer#run=true;lon=-97.54852994036656;lat=39.98076293780642;from=01-01;to=12-31;index=NDVI;rgb=NIR%2FRED%2FGREEN;chipwidth=1;"), "landsat_chips")</f>
        <v>landsat_chips</v>
      </c>
      <c r="I88" s="4" t="str">
        <f>HYPERLINK(CONCATENATE("https://livingatlas.arcgis.com/wayback/#ext=-97.54952994036657,39.981762937806415,-97.54752994036656,39.97976293780642"), "wayback")</f>
        <v>wayback</v>
      </c>
      <c r="J88" s="9" t="s">
        <v>19</v>
      </c>
      <c r="L88" s="9" t="s">
        <v>15</v>
      </c>
      <c r="M88" s="9" t="s">
        <v>22</v>
      </c>
    </row>
    <row r="89" spans="1:13">
      <c r="A89" s="1" t="s">
        <v>13</v>
      </c>
      <c r="B89" s="1">
        <v>88</v>
      </c>
      <c r="C89" s="1">
        <v>2015</v>
      </c>
      <c r="D89" s="1">
        <v>2016</v>
      </c>
      <c r="E89" s="1">
        <v>30.07520676679518</v>
      </c>
      <c r="F89" s="1">
        <v>-83.497578800008199</v>
      </c>
      <c r="G89" s="4" t="str">
        <f>HYPERLINK(CONCATENATE("https://ee-faluhong.projects.earthengine.app/view/isp-ts-evaluation#id=88 2015-&gt;2016;lat=30.07520676679518;lon=-83.4975788000082;year=2015;bf=7;level=18;"), "landsat_time_series")</f>
        <v>landsat_time_series</v>
      </c>
      <c r="H89" s="4" t="str">
        <f>HYPERLINK(CONCATENATE("https://jstnbraaten.users.earthengine.app/view/landsat-timeseries-explorer#run=true;lon=-83.4975788000082;lat=30.07520676679518;from=01-01;to=12-31;index=NDVI;rgb=NIR%2FRED%2FGREEN;chipwidth=1;"), "landsat_chips")</f>
        <v>landsat_chips</v>
      </c>
      <c r="I89" s="4" t="str">
        <f>HYPERLINK(CONCATENATE("https://livingatlas.arcgis.com/wayback/#ext=-83.4985788000082,30.07620676679518,-83.4965788000082,30.07420676679518"), "wayback")</f>
        <v>wayback</v>
      </c>
      <c r="J89" s="9" t="s">
        <v>25</v>
      </c>
      <c r="K89" s="9" t="s">
        <v>26</v>
      </c>
      <c r="L89" s="9" t="s">
        <v>15</v>
      </c>
      <c r="M89" s="9" t="s">
        <v>18</v>
      </c>
    </row>
    <row r="90" spans="1:13">
      <c r="A90" s="1" t="s">
        <v>13</v>
      </c>
      <c r="B90" s="1">
        <v>89</v>
      </c>
      <c r="C90" s="1">
        <v>2016</v>
      </c>
      <c r="D90" s="1">
        <v>2017</v>
      </c>
      <c r="E90" s="1">
        <v>31.585514223505161</v>
      </c>
      <c r="F90" s="1">
        <v>-84.194765819463925</v>
      </c>
      <c r="G90" s="4" t="str">
        <f>HYPERLINK(CONCATENATE("https://ee-faluhong.projects.earthengine.app/view/isp-ts-evaluation#id=89 2016-&gt;2017;lat=31.58551422350516;lon=-84.19476581946392;year=2016;bf=7;level=18;"), "landsat_time_series")</f>
        <v>landsat_time_series</v>
      </c>
      <c r="H90" s="4" t="str">
        <f>HYPERLINK(CONCATENATE("https://jstnbraaten.users.earthengine.app/view/landsat-timeseries-explorer#run=true;lon=-84.19476581946392;lat=31.58551422350516;from=01-01;to=12-31;index=NDVI;rgb=NIR%2FRED%2FGREEN;chipwidth=1;"), "landsat_chips")</f>
        <v>landsat_chips</v>
      </c>
      <c r="I90" s="4" t="str">
        <f>HYPERLINK(CONCATENATE("https://livingatlas.arcgis.com/wayback/#ext=-84.19576581946393,31.586514223505162,-84.19376581946392,31.58451422350516"), "wayback")</f>
        <v>wayback</v>
      </c>
      <c r="J90" s="9" t="s">
        <v>25</v>
      </c>
      <c r="K90" s="9" t="s">
        <v>26</v>
      </c>
      <c r="L90" s="9" t="s">
        <v>15</v>
      </c>
      <c r="M90" s="9" t="s">
        <v>36</v>
      </c>
    </row>
    <row r="91" spans="1:13">
      <c r="A91" s="1" t="s">
        <v>13</v>
      </c>
      <c r="B91" s="1">
        <v>90</v>
      </c>
      <c r="C91" s="1">
        <v>2012</v>
      </c>
      <c r="D91" s="1">
        <v>2013</v>
      </c>
      <c r="E91" s="1">
        <v>45.406620708370113</v>
      </c>
      <c r="F91" s="1">
        <v>-93.362927698455835</v>
      </c>
      <c r="G91" s="4" t="str">
        <f>HYPERLINK(CONCATENATE("https://ee-faluhong.projects.earthengine.app/view/isp-ts-evaluation#id=90 2012-&gt;2013;lat=45.40662070837011;lon=-93.36292769845583;year=2012;bf=7;level=18;"), "landsat_time_series")</f>
        <v>landsat_time_series</v>
      </c>
      <c r="H91" s="4" t="str">
        <f>HYPERLINK(CONCATENATE("https://jstnbraaten.users.earthengine.app/view/landsat-timeseries-explorer#run=true;lon=-93.36292769845583;lat=45.40662070837011;from=01-01;to=12-31;index=NDVI;rgb=NIR%2FRED%2FGREEN;chipwidth=1;"), "landsat_chips")</f>
        <v>landsat_chips</v>
      </c>
      <c r="I91" s="4" t="str">
        <f>HYPERLINK(CONCATENATE("https://livingatlas.arcgis.com/wayback/#ext=-93.36392769845584,45.40762070837011,-93.36192769845583,45.405620708370115"), "wayback")</f>
        <v>wayback</v>
      </c>
      <c r="J91" s="9" t="s">
        <v>19</v>
      </c>
      <c r="L91" s="9" t="s">
        <v>15</v>
      </c>
      <c r="M91" s="9" t="s">
        <v>20</v>
      </c>
    </row>
    <row r="92" spans="1:13">
      <c r="A92" s="1" t="s">
        <v>13</v>
      </c>
      <c r="B92" s="1">
        <v>91</v>
      </c>
      <c r="C92" s="1">
        <v>2008</v>
      </c>
      <c r="D92" s="1">
        <v>2009</v>
      </c>
      <c r="E92" s="1">
        <v>43.117820273406103</v>
      </c>
      <c r="F92" s="1">
        <v>-108.32971077644039</v>
      </c>
      <c r="G92" s="4" t="str">
        <f>HYPERLINK(CONCATENATE("https://ee-faluhong.projects.earthengine.app/view/isp-ts-evaluation#id=91 2008-&gt;2009;lat=43.1178202734061;lon=-108.3297107764404;year=2008;bf=7;level=18;"), "landsat_time_series")</f>
        <v>landsat_time_series</v>
      </c>
      <c r="H92" s="4" t="str">
        <f>HYPERLINK(CONCATENATE("https://jstnbraaten.users.earthengine.app/view/landsat-timeseries-explorer#run=true;lon=-108.3297107764404;lat=43.1178202734061;from=01-01;to=12-31;index=NDVI;rgb=NIR%2FRED%2FGREEN;chipwidth=1;"), "landsat_chips")</f>
        <v>landsat_chips</v>
      </c>
      <c r="I92" s="4" t="str">
        <f>HYPERLINK(CONCATENATE("https://livingatlas.arcgis.com/wayback/#ext=-108.3307107764404,43.1188202734061,-108.32871077644039,43.116820273406105"), "wayback")</f>
        <v>wayback</v>
      </c>
      <c r="J92" s="9" t="s">
        <v>21</v>
      </c>
      <c r="L92" s="9" t="s">
        <v>15</v>
      </c>
      <c r="M92" s="9" t="s">
        <v>36</v>
      </c>
    </row>
    <row r="93" spans="1:13">
      <c r="A93" s="1" t="s">
        <v>13</v>
      </c>
      <c r="B93" s="1">
        <v>92</v>
      </c>
      <c r="C93" s="1">
        <v>2005</v>
      </c>
      <c r="D93" s="1">
        <v>2006</v>
      </c>
      <c r="E93" s="1">
        <v>33.928555664153762</v>
      </c>
      <c r="F93" s="1">
        <v>-117.4260500065383</v>
      </c>
      <c r="G93" s="4" t="str">
        <f>HYPERLINK(CONCATENATE("https://ee-faluhong.projects.earthengine.app/view/isp-ts-evaluation#id=92 2005-&gt;2006;lat=33.92855566415376;lon=-117.4260500065383;year=2005;bf=7;level=18;"), "landsat_time_series")</f>
        <v>landsat_time_series</v>
      </c>
      <c r="H93" s="4" t="str">
        <f>HYPERLINK(CONCATENATE("https://jstnbraaten.users.earthengine.app/view/landsat-timeseries-explorer#run=true;lon=-117.4260500065383;lat=33.92855566415376;from=01-01;to=12-31;index=NDVI;rgb=NIR%2FRED%2FGREEN;chipwidth=1;"), "landsat_chips")</f>
        <v>landsat_chips</v>
      </c>
      <c r="I93" s="4" t="str">
        <f>HYPERLINK(CONCATENATE("https://livingatlas.arcgis.com/wayback/#ext=-117.42705000653831,33.92955566415376,-117.4250500065383,33.927555664153765"), "wayback")</f>
        <v>wayback</v>
      </c>
      <c r="J93" s="9" t="s">
        <v>44</v>
      </c>
      <c r="K93" s="9" t="s">
        <v>26</v>
      </c>
      <c r="L93" s="9" t="s">
        <v>31</v>
      </c>
      <c r="M93" s="9" t="s">
        <v>33</v>
      </c>
    </row>
    <row r="94" spans="1:13">
      <c r="A94" s="1" t="s">
        <v>13</v>
      </c>
      <c r="B94" s="1">
        <v>93</v>
      </c>
      <c r="C94" s="1">
        <v>2003</v>
      </c>
      <c r="D94" s="1">
        <v>2004</v>
      </c>
      <c r="E94" s="1">
        <v>38.490108214146787</v>
      </c>
      <c r="F94" s="1">
        <v>-91.481106583534384</v>
      </c>
      <c r="G94" s="4" t="str">
        <f>HYPERLINK(CONCATENATE("https://ee-faluhong.projects.earthengine.app/view/isp-ts-evaluation#id=93 2003-&gt;2004;lat=38.49010821414679;lon=-91.48110658353438;year=2003;bf=7;level=18;"), "landsat_time_series")</f>
        <v>landsat_time_series</v>
      </c>
      <c r="H94" s="4" t="str">
        <f>HYPERLINK(CONCATENATE("https://jstnbraaten.users.earthengine.app/view/landsat-timeseries-explorer#run=true;lon=-91.48110658353438;lat=38.49010821414679;from=01-01;to=12-31;index=NDVI;rgb=NIR%2FRED%2FGREEN;chipwidth=1;"), "landsat_chips")</f>
        <v>landsat_chips</v>
      </c>
      <c r="I94" s="4" t="str">
        <f>HYPERLINK(CONCATENATE("https://livingatlas.arcgis.com/wayback/#ext=-91.48210658353439,38.491108214146784,-91.48010658353438,38.48910821414679"), "wayback")</f>
        <v>wayback</v>
      </c>
      <c r="J94" s="9" t="s">
        <v>19</v>
      </c>
      <c r="L94" s="9" t="s">
        <v>15</v>
      </c>
      <c r="M94" s="9" t="s">
        <v>20</v>
      </c>
    </row>
    <row r="95" spans="1:13">
      <c r="A95" s="1" t="s">
        <v>13</v>
      </c>
      <c r="B95" s="1">
        <v>94</v>
      </c>
      <c r="C95" s="1">
        <v>2018</v>
      </c>
      <c r="D95" s="1">
        <v>2019</v>
      </c>
      <c r="E95" s="1">
        <v>33.597327209915299</v>
      </c>
      <c r="F95" s="1">
        <v>-101.6588217776107</v>
      </c>
      <c r="G95" s="4" t="str">
        <f>HYPERLINK(CONCATENATE("https://ee-faluhong.projects.earthengine.app/view/isp-ts-evaluation#id=94 2018-&gt;2019;lat=33.5973272099153;lon=-101.6588217776107;year=2018;bf=7;level=18;"), "landsat_time_series")</f>
        <v>landsat_time_series</v>
      </c>
      <c r="H95" s="4" t="str">
        <f>HYPERLINK(CONCATENATE("https://jstnbraaten.users.earthengine.app/view/landsat-timeseries-explorer#run=true;lon=-101.6588217776107;lat=33.5973272099153;from=01-01;to=12-31;index=NDVI;rgb=NIR%2FRED%2FGREEN;chipwidth=1;"), "landsat_chips")</f>
        <v>landsat_chips</v>
      </c>
      <c r="I95" s="4" t="str">
        <f>HYPERLINK(CONCATENATE("https://livingatlas.arcgis.com/wayback/#ext=-101.6598217776107,33.5983272099153,-101.65782177761069,33.5963272099153"), "wayback")</f>
        <v>wayback</v>
      </c>
      <c r="J95" s="9" t="s">
        <v>17</v>
      </c>
      <c r="L95" s="9" t="s">
        <v>15</v>
      </c>
      <c r="M95" s="9" t="s">
        <v>36</v>
      </c>
    </row>
    <row r="96" spans="1:13">
      <c r="A96" s="1" t="s">
        <v>13</v>
      </c>
      <c r="B96" s="1">
        <v>95</v>
      </c>
      <c r="C96" s="1">
        <v>2011</v>
      </c>
      <c r="D96" s="1">
        <v>2012</v>
      </c>
      <c r="E96" s="1">
        <v>46.146015022640029</v>
      </c>
      <c r="F96" s="1">
        <v>-123.9269868266576</v>
      </c>
      <c r="G96" s="4" t="str">
        <f>HYPERLINK(CONCATENATE("https://ee-faluhong.projects.earthengine.app/view/isp-ts-evaluation#id=95 2011-&gt;2012;lat=46.14601502264003;lon=-123.9269868266576;year=2011;bf=7;level=18;"), "landsat_time_series")</f>
        <v>landsat_time_series</v>
      </c>
      <c r="H96" s="4" t="str">
        <f>HYPERLINK(CONCATENATE("https://jstnbraaten.users.earthengine.app/view/landsat-timeseries-explorer#run=true;lon=-123.9269868266576;lat=46.14601502264003;from=01-01;to=12-31;index=NDVI;rgb=NIR%2FRED%2FGREEN;chipwidth=1;"), "landsat_chips")</f>
        <v>landsat_chips</v>
      </c>
      <c r="I96" s="4" t="str">
        <f>HYPERLINK(CONCATENATE("https://livingatlas.arcgis.com/wayback/#ext=-123.9279868266576,46.147015022640026,-123.92598682665759,46.14501502264003"), "wayback")</f>
        <v>wayback</v>
      </c>
      <c r="J96" s="9" t="s">
        <v>44</v>
      </c>
      <c r="L96" s="9" t="s">
        <v>15</v>
      </c>
      <c r="M96" s="9" t="s">
        <v>36</v>
      </c>
    </row>
    <row r="97" spans="1:13">
      <c r="A97" s="1" t="s">
        <v>13</v>
      </c>
      <c r="B97" s="1">
        <v>96</v>
      </c>
      <c r="C97" s="1">
        <v>2000</v>
      </c>
      <c r="D97" s="1">
        <v>2001</v>
      </c>
      <c r="E97" s="1">
        <v>48.721161520457187</v>
      </c>
      <c r="F97" s="1">
        <v>-122.173566633199</v>
      </c>
      <c r="G97" s="4" t="str">
        <f>HYPERLINK(CONCATENATE("https://ee-faluhong.projects.earthengine.app/view/isp-ts-evaluation#id=96 2000-&gt;2001;lat=48.72116152045719;lon=-122.173566633199;year=2000;bf=7;level=18;"), "landsat_time_series")</f>
        <v>landsat_time_series</v>
      </c>
      <c r="H97" s="4" t="str">
        <f>HYPERLINK(CONCATENATE("https://jstnbraaten.users.earthengine.app/view/landsat-timeseries-explorer#run=true;lon=-122.173566633199;lat=48.72116152045719;from=01-01;to=12-31;index=NDVI;rgb=NIR%2FRED%2FGREEN;chipwidth=1;"), "landsat_chips")</f>
        <v>landsat_chips</v>
      </c>
      <c r="I97" s="4" t="str">
        <f>HYPERLINK(CONCATENATE("https://livingatlas.arcgis.com/wayback/#ext=-122.174566633199,48.722161520457185,-122.172566633199,48.72016152045719"), "wayback")</f>
        <v>wayback</v>
      </c>
      <c r="J97" s="9" t="s">
        <v>19</v>
      </c>
      <c r="L97" s="9" t="s">
        <v>15</v>
      </c>
      <c r="M97" s="9" t="s">
        <v>20</v>
      </c>
    </row>
    <row r="98" spans="1:13">
      <c r="A98" s="1" t="s">
        <v>13</v>
      </c>
      <c r="B98" s="1">
        <v>97</v>
      </c>
      <c r="C98" s="1">
        <v>2009</v>
      </c>
      <c r="D98" s="1">
        <v>2010</v>
      </c>
      <c r="E98" s="1">
        <v>42.601428231348628</v>
      </c>
      <c r="F98" s="1">
        <v>-86.538035369054597</v>
      </c>
      <c r="G98" s="4" t="str">
        <f>HYPERLINK(CONCATENATE("https://ee-faluhong.projects.earthengine.app/view/isp-ts-evaluation#id=97 2009-&gt;2010;lat=42.60142823134863;lon=-86.5380353690546;year=2009;bf=7;level=18;"), "landsat_time_series")</f>
        <v>landsat_time_series</v>
      </c>
      <c r="H98" s="4" t="str">
        <f>HYPERLINK(CONCATENATE("https://jstnbraaten.users.earthengine.app/view/landsat-timeseries-explorer#run=true;lon=-86.5380353690546;lat=42.60142823134863;from=01-01;to=12-31;index=NDVI;rgb=NIR%2FRED%2FGREEN;chipwidth=1;"), "landsat_chips")</f>
        <v>landsat_chips</v>
      </c>
      <c r="I98" s="4" t="str">
        <f>HYPERLINK(CONCATENATE("https://livingatlas.arcgis.com/wayback/#ext=-86.5390353690546,42.602428231348625,-86.53703536905459,42.60042823134863"), "wayback")</f>
        <v>wayback</v>
      </c>
      <c r="J98" s="9" t="s">
        <v>19</v>
      </c>
      <c r="L98" s="9" t="s">
        <v>15</v>
      </c>
      <c r="M98" s="9" t="s">
        <v>41</v>
      </c>
    </row>
    <row r="99" spans="1:13">
      <c r="A99" s="1" t="s">
        <v>13</v>
      </c>
      <c r="B99" s="1">
        <v>98</v>
      </c>
      <c r="C99" s="1">
        <v>2018</v>
      </c>
      <c r="D99" s="1">
        <v>2019</v>
      </c>
      <c r="E99" s="1">
        <v>30.26884063878629</v>
      </c>
      <c r="F99" s="1">
        <v>-85.243168545066766</v>
      </c>
      <c r="G99" s="4" t="str">
        <f>HYPERLINK(CONCATENATE("https://ee-faluhong.projects.earthengine.app/view/isp-ts-evaluation#id=98 2018-&gt;2019;lat=30.26884063878629;lon=-85.24316854506677;year=2018;bf=7;level=18;"), "landsat_time_series")</f>
        <v>landsat_time_series</v>
      </c>
      <c r="H99" s="4" t="str">
        <f>HYPERLINK(CONCATENATE("https://jstnbraaten.users.earthengine.app/view/landsat-timeseries-explorer#run=true;lon=-85.24316854506677;lat=30.26884063878629;from=01-01;to=12-31;index=NDVI;rgb=NIR%2FRED%2FGREEN;chipwidth=1;"), "landsat_chips")</f>
        <v>landsat_chips</v>
      </c>
      <c r="I99" s="4" t="str">
        <f>HYPERLINK(CONCATENATE("https://livingatlas.arcgis.com/wayback/#ext=-85.24416854506677,30.26984063878629,-85.24216854506676,30.26784063878629"), "wayback")</f>
        <v>wayback</v>
      </c>
      <c r="J99" s="9" t="s">
        <v>25</v>
      </c>
      <c r="K99" s="9" t="s">
        <v>26</v>
      </c>
      <c r="L99" s="9" t="s">
        <v>15</v>
      </c>
      <c r="M99" s="9" t="s">
        <v>36</v>
      </c>
    </row>
    <row r="100" spans="1:13">
      <c r="A100" s="1" t="s">
        <v>13</v>
      </c>
      <c r="B100" s="1">
        <v>99</v>
      </c>
      <c r="C100" s="1">
        <v>2001</v>
      </c>
      <c r="D100" s="1">
        <v>2002</v>
      </c>
      <c r="E100" s="1">
        <v>29.52713594857866</v>
      </c>
      <c r="F100" s="1">
        <v>-98.381131906307331</v>
      </c>
      <c r="G100" s="4" t="str">
        <f>HYPERLINK(CONCATENATE("https://ee-faluhong.projects.earthengine.app/view/isp-ts-evaluation#id=99 2001-&gt;2002;lat=29.52713594857866;lon=-98.38113190630733;year=2001;bf=7;level=18;"), "landsat_time_series")</f>
        <v>landsat_time_series</v>
      </c>
      <c r="H100" s="4" t="str">
        <f>HYPERLINK(CONCATENATE("https://jstnbraaten.users.earthengine.app/view/landsat-timeseries-explorer#run=true;lon=-98.38113190630733;lat=29.52713594857866;from=01-01;to=12-31;index=NDVI;rgb=NIR%2FRED%2FGREEN;chipwidth=1;"), "landsat_chips")</f>
        <v>landsat_chips</v>
      </c>
      <c r="I100" s="4" t="str">
        <f>HYPERLINK(CONCATENATE("https://livingatlas.arcgis.com/wayback/#ext=-98.38213190630734,29.52813594857866,-98.38013190630733,29.52613594857866"), "wayback")</f>
        <v>wayback</v>
      </c>
      <c r="J100" s="9" t="s">
        <v>34</v>
      </c>
      <c r="L100" s="9" t="s">
        <v>15</v>
      </c>
      <c r="M100" s="9" t="s">
        <v>18</v>
      </c>
    </row>
    <row r="101" spans="1:13">
      <c r="A101" s="1" t="s">
        <v>13</v>
      </c>
      <c r="B101" s="1">
        <v>100</v>
      </c>
      <c r="C101" s="1">
        <v>2007</v>
      </c>
      <c r="D101" s="1">
        <v>2008</v>
      </c>
      <c r="E101" s="1">
        <v>47.000759381865372</v>
      </c>
      <c r="F101" s="1">
        <v>-122.84847540626269</v>
      </c>
      <c r="G101" s="4" t="str">
        <f>HYPERLINK(CONCATENATE("https://ee-faluhong.projects.earthengine.app/view/isp-ts-evaluation#id=100 2007-&gt;2008;lat=47.00075938186537;lon=-122.8484754062627;year=2007;bf=7;level=18;"), "landsat_time_series")</f>
        <v>landsat_time_series</v>
      </c>
      <c r="H101" s="4" t="str">
        <f>HYPERLINK(CONCATENATE("https://jstnbraaten.users.earthengine.app/view/landsat-timeseries-explorer#run=true;lon=-122.8484754062627;lat=47.00075938186537;from=01-01;to=12-31;index=NDVI;rgb=NIR%2FRED%2FGREEN;chipwidth=1;"), "landsat_chips")</f>
        <v>landsat_chips</v>
      </c>
      <c r="I101" s="4" t="str">
        <f>HYPERLINK(CONCATENATE("https://livingatlas.arcgis.com/wayback/#ext=-122.8494754062627,47.00175938186537,-122.84747540626269,46.999759381865374"), "wayback")</f>
        <v>wayback</v>
      </c>
      <c r="J101" s="9" t="s">
        <v>21</v>
      </c>
      <c r="L101" s="9" t="s">
        <v>15</v>
      </c>
      <c r="M101" s="9" t="s">
        <v>18</v>
      </c>
    </row>
    <row r="102" spans="1:13">
      <c r="A102" s="1" t="s">
        <v>45</v>
      </c>
      <c r="B102" s="1">
        <v>101</v>
      </c>
      <c r="C102" s="1">
        <v>2019</v>
      </c>
      <c r="D102" s="1">
        <v>2020</v>
      </c>
      <c r="E102" s="1">
        <v>33.97392108576171</v>
      </c>
      <c r="F102" s="1">
        <v>-87.436285221624033</v>
      </c>
      <c r="G102" s="4" t="str">
        <f>HYPERLINK(CONCATENATE("https://ee-faluhong.projects.earthengine.app/view/isp-ts-evaluation#id=101 2019-&gt;2020;lat=33.97392108576171;lon=-87.43628522162403;year=2019;bf=7;level=18;"), "landsat_time_series")</f>
        <v>landsat_time_series</v>
      </c>
      <c r="H102" s="4" t="str">
        <f>HYPERLINK(CONCATENATE("https://jstnbraaten.users.earthengine.app/view/landsat-timeseries-explorer#run=true;lon=-87.43628522162403;lat=33.97392108576171;from=01-01;to=12-31;index=NDVI;rgb=NIR%2FRED%2FGREEN;chipwidth=1;"), "landsat_chips")</f>
        <v>landsat_chips</v>
      </c>
      <c r="I102" s="4" t="str">
        <f>HYPERLINK(CONCATENATE("https://livingatlas.arcgis.com/wayback/#ext=-87.43728522162404,33.97492108576171,-87.43528522162403,33.97292108576171"), "wayback")</f>
        <v>wayback</v>
      </c>
      <c r="J102" s="9" t="s">
        <v>25</v>
      </c>
      <c r="K102" s="9" t="s">
        <v>26</v>
      </c>
      <c r="L102" s="9" t="s">
        <v>24</v>
      </c>
    </row>
    <row r="103" spans="1:13">
      <c r="A103" s="1" t="s">
        <v>45</v>
      </c>
      <c r="B103" s="1">
        <v>102</v>
      </c>
      <c r="C103" s="1">
        <v>2005</v>
      </c>
      <c r="D103" s="1">
        <v>2006</v>
      </c>
      <c r="E103" s="1">
        <v>37.63043581441076</v>
      </c>
      <c r="F103" s="1">
        <v>-95.269358227129132</v>
      </c>
      <c r="G103" s="4" t="str">
        <f>HYPERLINK(CONCATENATE("https://ee-faluhong.projects.earthengine.app/view/isp-ts-evaluation#id=102 2005-&gt;2006;lat=37.63043581441076;lon=-95.26935822712913;year=2005;bf=7;level=18;"), "landsat_time_series")</f>
        <v>landsat_time_series</v>
      </c>
      <c r="H103" s="4" t="str">
        <f>HYPERLINK(CONCATENATE("https://jstnbraaten.users.earthengine.app/view/landsat-timeseries-explorer#run=true;lon=-95.26935822712913;lat=37.63043581441076;from=01-01;to=12-31;index=NDVI;rgb=NIR%2FRED%2FGREEN;chipwidth=1;"), "landsat_chips")</f>
        <v>landsat_chips</v>
      </c>
      <c r="I103" s="4" t="str">
        <f>HYPERLINK(CONCATENATE("https://livingatlas.arcgis.com/wayback/#ext=-95.27035822712914,37.63143581441076,-95.26835822712913,37.62943581441076"), "wayback")</f>
        <v>wayback</v>
      </c>
      <c r="J103" s="9" t="s">
        <v>19</v>
      </c>
      <c r="L103" s="9" t="s">
        <v>15</v>
      </c>
    </row>
    <row r="104" spans="1:13">
      <c r="A104" s="1" t="s">
        <v>45</v>
      </c>
      <c r="B104" s="1">
        <v>103</v>
      </c>
      <c r="C104" s="1">
        <v>2009</v>
      </c>
      <c r="D104" s="1">
        <v>2010</v>
      </c>
      <c r="E104" s="1">
        <v>36.425134210302389</v>
      </c>
      <c r="F104" s="1">
        <v>-104.9170120951547</v>
      </c>
      <c r="G104" s="4" t="str">
        <f>HYPERLINK(CONCATENATE("https://ee-faluhong.projects.earthengine.app/view/isp-ts-evaluation#id=103 2009-&gt;2010;lat=36.42513421030239;lon=-104.9170120951547;year=2009;bf=7;level=18;"), "landsat_time_series")</f>
        <v>landsat_time_series</v>
      </c>
      <c r="H104" s="4" t="str">
        <f>HYPERLINK(CONCATENATE("https://jstnbraaten.users.earthengine.app/view/landsat-timeseries-explorer#run=true;lon=-104.9170120951547;lat=36.42513421030239;from=01-01;to=12-31;index=NDVI;rgb=NIR%2FRED%2FGREEN;chipwidth=1;"), "landsat_chips")</f>
        <v>landsat_chips</v>
      </c>
      <c r="I104" s="4" t="str">
        <f>HYPERLINK(CONCATENATE("https://livingatlas.arcgis.com/wayback/#ext=-104.91801209515471,36.426134210302386,-104.9160120951547,36.42413421030239"), "wayback")</f>
        <v>wayback</v>
      </c>
      <c r="J104" s="9" t="s">
        <v>19</v>
      </c>
      <c r="L104" s="9" t="s">
        <v>15</v>
      </c>
      <c r="M104" s="9" t="s">
        <v>46</v>
      </c>
    </row>
    <row r="105" spans="1:13">
      <c r="A105" s="1" t="s">
        <v>45</v>
      </c>
      <c r="B105" s="1">
        <v>104</v>
      </c>
      <c r="C105" s="1">
        <v>2007</v>
      </c>
      <c r="D105" s="1">
        <v>2008</v>
      </c>
      <c r="E105" s="1">
        <v>26.726484942575809</v>
      </c>
      <c r="F105" s="1">
        <v>-81.059771906763942</v>
      </c>
      <c r="G105" s="4" t="str">
        <f>HYPERLINK(CONCATENATE("https://ee-faluhong.projects.earthengine.app/view/isp-ts-evaluation#id=104 2007-&gt;2008;lat=26.72648494257581;lon=-81.05977190676394;year=2007;bf=7;level=18;"), "landsat_time_series")</f>
        <v>landsat_time_series</v>
      </c>
      <c r="H105" s="4" t="str">
        <f>HYPERLINK(CONCATENATE("https://jstnbraaten.users.earthengine.app/view/landsat-timeseries-explorer#run=true;lon=-81.05977190676394;lat=26.72648494257581;from=01-01;to=12-31;index=NDVI;rgb=NIR%2FRED%2FGREEN;chipwidth=1;"), "landsat_chips")</f>
        <v>landsat_chips</v>
      </c>
      <c r="I105" s="4" t="str">
        <f>HYPERLINK(CONCATENATE("https://livingatlas.arcgis.com/wayback/#ext=-81.06077190676395,26.72748494257581,-81.05877190676394,26.725484942575807"), "wayback")</f>
        <v>wayback</v>
      </c>
      <c r="J105" s="9" t="s">
        <v>19</v>
      </c>
      <c r="L105" s="9" t="s">
        <v>15</v>
      </c>
      <c r="M105" s="9" t="s">
        <v>47</v>
      </c>
    </row>
    <row r="106" spans="1:13">
      <c r="A106" s="1" t="s">
        <v>45</v>
      </c>
      <c r="B106" s="1">
        <v>105</v>
      </c>
      <c r="C106" s="1">
        <v>2000</v>
      </c>
      <c r="D106" s="1">
        <v>2001</v>
      </c>
      <c r="E106" s="1">
        <v>31.311435642709949</v>
      </c>
      <c r="F106" s="1">
        <v>-89.372752061905956</v>
      </c>
      <c r="G106" s="4" t="str">
        <f>HYPERLINK(CONCATENATE("https://ee-faluhong.projects.earthengine.app/view/isp-ts-evaluation#id=105 2000-&gt;2001;lat=31.31143564270995;lon=-89.37275206190596;year=2000;bf=7;level=18;"), "landsat_time_series")</f>
        <v>landsat_time_series</v>
      </c>
      <c r="H106" s="4" t="str">
        <f>HYPERLINK(CONCATENATE("https://jstnbraaten.users.earthengine.app/view/landsat-timeseries-explorer#run=true;lon=-89.37275206190596;lat=31.31143564270995;from=01-01;to=12-31;index=NDVI;rgb=NIR%2FRED%2FGREEN;chipwidth=1;"), "landsat_chips")</f>
        <v>landsat_chips</v>
      </c>
      <c r="I106" s="4" t="str">
        <f>HYPERLINK(CONCATENATE("https://livingatlas.arcgis.com/wayback/#ext=-89.37375206190596,31.31243564270995,-89.37175206190595,31.310435642709948"), "wayback")</f>
        <v>wayback</v>
      </c>
      <c r="J106" s="9" t="s">
        <v>21</v>
      </c>
      <c r="L106" s="9" t="s">
        <v>15</v>
      </c>
      <c r="M106" s="9" t="s">
        <v>48</v>
      </c>
    </row>
    <row r="107" spans="1:13">
      <c r="A107" s="1" t="s">
        <v>45</v>
      </c>
      <c r="B107" s="1">
        <v>106</v>
      </c>
      <c r="C107" s="1">
        <v>2006</v>
      </c>
      <c r="D107" s="1">
        <v>2007</v>
      </c>
      <c r="E107" s="1">
        <v>48.737827248919892</v>
      </c>
      <c r="F107" s="1">
        <v>-105.4101719158575</v>
      </c>
      <c r="G107" s="4" t="str">
        <f>HYPERLINK(CONCATENATE("https://ee-faluhong.projects.earthengine.app/view/isp-ts-evaluation#id=106 2006-&gt;2007;lat=48.73782724891989;lon=-105.4101719158575;year=2006;bf=7;level=18;"), "landsat_time_series")</f>
        <v>landsat_time_series</v>
      </c>
      <c r="H107" s="4" t="str">
        <f>HYPERLINK(CONCATENATE("https://jstnbraaten.users.earthengine.app/view/landsat-timeseries-explorer#run=true;lon=-105.4101719158575;lat=48.73782724891989;from=01-01;to=12-31;index=NDVI;rgb=NIR%2FRED%2FGREEN;chipwidth=1;"), "landsat_chips")</f>
        <v>landsat_chips</v>
      </c>
      <c r="I107" s="4" t="str">
        <f>HYPERLINK(CONCATENATE("https://livingatlas.arcgis.com/wayback/#ext=-105.41117191585751,48.73882724891989,-105.4091719158575,48.736827248919894"), "wayback")</f>
        <v>wayback</v>
      </c>
      <c r="J107" s="9" t="s">
        <v>19</v>
      </c>
      <c r="L107" s="9" t="s">
        <v>15</v>
      </c>
      <c r="M107" s="9" t="s">
        <v>46</v>
      </c>
    </row>
    <row r="108" spans="1:13">
      <c r="A108" s="1" t="s">
        <v>45</v>
      </c>
      <c r="B108" s="1">
        <v>107</v>
      </c>
      <c r="C108" s="1">
        <v>2016</v>
      </c>
      <c r="D108" s="1">
        <v>2017</v>
      </c>
      <c r="E108" s="1">
        <v>36.988446299490178</v>
      </c>
      <c r="F108" s="1">
        <v>-101.52718106558331</v>
      </c>
      <c r="G108" s="4" t="str">
        <f>HYPERLINK(CONCATENATE("https://ee-faluhong.projects.earthengine.app/view/isp-ts-evaluation#id=107 2016-&gt;2017;lat=36.98844629949018;lon=-101.5271810655833;year=2016;bf=7;level=18;"), "landsat_time_series")</f>
        <v>landsat_time_series</v>
      </c>
      <c r="H108" s="4" t="str">
        <f>HYPERLINK(CONCATENATE("https://jstnbraaten.users.earthengine.app/view/landsat-timeseries-explorer#run=true;lon=-101.5271810655833;lat=36.98844629949018;from=01-01;to=12-31;index=NDVI;rgb=NIR%2FRED%2FGREEN;chipwidth=1;"), "landsat_chips")</f>
        <v>landsat_chips</v>
      </c>
      <c r="I108" s="4" t="str">
        <f>HYPERLINK(CONCATENATE("https://livingatlas.arcgis.com/wayback/#ext=-101.52818106558331,36.989446299490176,-101.5261810655833,36.98744629949018"), "wayback")</f>
        <v>wayback</v>
      </c>
      <c r="J108" s="9" t="s">
        <v>19</v>
      </c>
      <c r="L108" s="9" t="s">
        <v>15</v>
      </c>
      <c r="M108" s="9" t="s">
        <v>47</v>
      </c>
    </row>
    <row r="109" spans="1:13">
      <c r="A109" s="1" t="s">
        <v>45</v>
      </c>
      <c r="B109" s="1">
        <v>108</v>
      </c>
      <c r="C109" s="1">
        <v>2014</v>
      </c>
      <c r="D109" s="1">
        <v>2015</v>
      </c>
      <c r="E109" s="1">
        <v>38.228499638900828</v>
      </c>
      <c r="F109" s="1">
        <v>-75.273833334551156</v>
      </c>
      <c r="G109" s="4" t="str">
        <f>HYPERLINK(CONCATENATE("https://ee-faluhong.projects.earthengine.app/view/isp-ts-evaluation#id=108 2014-&gt;2015;lat=38.22849963890083;lon=-75.27383333455116;year=2014;bf=7;level=18;"), "landsat_time_series")</f>
        <v>landsat_time_series</v>
      </c>
      <c r="H109" s="4" t="str">
        <f>HYPERLINK(CONCATENATE("https://jstnbraaten.users.earthengine.app/view/landsat-timeseries-explorer#run=true;lon=-75.27383333455116;lat=38.22849963890083;from=01-01;to=12-31;index=NDVI;rgb=NIR%2FRED%2FGREEN;chipwidth=1;"), "landsat_chips")</f>
        <v>landsat_chips</v>
      </c>
      <c r="I109" s="4" t="str">
        <f>HYPERLINK(CONCATENATE("https://livingatlas.arcgis.com/wayback/#ext=-75.27483333455116,38.229499638900826,-75.27283333455115,38.22749963890083"), "wayback")</f>
        <v>wayback</v>
      </c>
      <c r="J109" s="9" t="s">
        <v>19</v>
      </c>
      <c r="L109" s="9" t="s">
        <v>15</v>
      </c>
      <c r="M109" s="9" t="s">
        <v>49</v>
      </c>
    </row>
    <row r="110" spans="1:13">
      <c r="A110" s="1" t="s">
        <v>45</v>
      </c>
      <c r="B110" s="1">
        <v>109</v>
      </c>
      <c r="C110" s="1">
        <v>2009</v>
      </c>
      <c r="D110" s="1">
        <v>2010</v>
      </c>
      <c r="E110" s="1">
        <v>29.87847796634901</v>
      </c>
      <c r="F110" s="1">
        <v>-96.46309599780956</v>
      </c>
      <c r="G110" s="4" t="str">
        <f>HYPERLINK(CONCATENATE("https://ee-faluhong.projects.earthengine.app/view/isp-ts-evaluation#id=109 2009-&gt;2010;lat=29.87847796634901;lon=-96.46309599780956;year=2009;bf=7;level=18;"), "landsat_time_series")</f>
        <v>landsat_time_series</v>
      </c>
      <c r="H110" s="4" t="str">
        <f>HYPERLINK(CONCATENATE("https://jstnbraaten.users.earthengine.app/view/landsat-timeseries-explorer#run=true;lon=-96.46309599780956;lat=29.87847796634901;from=01-01;to=12-31;index=NDVI;rgb=NIR%2FRED%2FGREEN;chipwidth=1;"), "landsat_chips")</f>
        <v>landsat_chips</v>
      </c>
      <c r="I110" s="4" t="str">
        <f>HYPERLINK(CONCATENATE("https://livingatlas.arcgis.com/wayback/#ext=-96.46409599780957,29.87947796634901,-96.46209599780956,29.87747796634901"), "wayback")</f>
        <v>wayback</v>
      </c>
      <c r="J110" s="9" t="s">
        <v>19</v>
      </c>
      <c r="L110" s="9" t="s">
        <v>24</v>
      </c>
      <c r="M110" s="9" t="s">
        <v>50</v>
      </c>
    </row>
    <row r="111" spans="1:13">
      <c r="A111" s="1" t="s">
        <v>45</v>
      </c>
      <c r="B111" s="1">
        <v>110</v>
      </c>
      <c r="C111" s="1">
        <v>2000</v>
      </c>
      <c r="D111" s="1">
        <v>2001</v>
      </c>
      <c r="E111" s="1">
        <v>27.33765064861478</v>
      </c>
      <c r="F111" s="1">
        <v>-82.429712648003004</v>
      </c>
      <c r="G111" s="4" t="str">
        <f>HYPERLINK(CONCATENATE("https://ee-faluhong.projects.earthengine.app/view/isp-ts-evaluation#id=110 2000-&gt;2001;lat=27.33765064861478;lon=-82.429712648003;year=2000;bf=7;level=18;"), "landsat_time_series")</f>
        <v>landsat_time_series</v>
      </c>
      <c r="H111" s="4" t="str">
        <f>HYPERLINK(CONCATENATE("https://jstnbraaten.users.earthengine.app/view/landsat-timeseries-explorer#run=true;lon=-82.429712648003;lat=27.33765064861478;from=01-01;to=12-31;index=NDVI;rgb=NIR%2FRED%2FGREEN;chipwidth=1;"), "landsat_chips")</f>
        <v>landsat_chips</v>
      </c>
      <c r="I111" s="4" t="str">
        <f>HYPERLINK(CONCATENATE("https://livingatlas.arcgis.com/wayback/#ext=-82.43071264800301,27.33865064861478,-82.428712648003,27.33665064861478"), "wayback")</f>
        <v>wayback</v>
      </c>
      <c r="J111" s="9" t="s">
        <v>34</v>
      </c>
      <c r="M111" s="9" t="s">
        <v>51</v>
      </c>
    </row>
    <row r="112" spans="1:13">
      <c r="A112" s="1" t="s">
        <v>45</v>
      </c>
      <c r="B112" s="1">
        <v>111</v>
      </c>
      <c r="C112" s="1">
        <v>2004</v>
      </c>
      <c r="D112" s="1">
        <v>2005</v>
      </c>
      <c r="E112" s="1">
        <v>33.97538945668267</v>
      </c>
      <c r="F112" s="1">
        <v>-92.425890970143968</v>
      </c>
      <c r="G112" s="4" t="str">
        <f>HYPERLINK(CONCATENATE("https://ee-faluhong.projects.earthengine.app/view/isp-ts-evaluation#id=111 2004-&gt;2005;lat=33.97538945668267;lon=-92.42589097014397;year=2004;bf=7;level=18;"), "landsat_time_series")</f>
        <v>landsat_time_series</v>
      </c>
      <c r="H112" s="4" t="str">
        <f>HYPERLINK(CONCATENATE("https://jstnbraaten.users.earthengine.app/view/landsat-timeseries-explorer#run=true;lon=-92.42589097014397;lat=33.97538945668267;from=01-01;to=12-31;index=NDVI;rgb=NIR%2FRED%2FGREEN;chipwidth=1;"), "landsat_chips")</f>
        <v>landsat_chips</v>
      </c>
      <c r="I112" s="4" t="str">
        <f>HYPERLINK(CONCATENATE("https://livingatlas.arcgis.com/wayback/#ext=-92.42689097014397,33.97638945668267,-92.42489097014396,33.97438945668267"), "wayback")</f>
        <v>wayback</v>
      </c>
      <c r="J112" s="9" t="s">
        <v>25</v>
      </c>
      <c r="K112" s="9" t="s">
        <v>26</v>
      </c>
      <c r="L112" s="9" t="s">
        <v>15</v>
      </c>
      <c r="M112" s="9" t="s">
        <v>52</v>
      </c>
    </row>
    <row r="113" spans="1:13">
      <c r="A113" s="1" t="s">
        <v>45</v>
      </c>
      <c r="B113" s="1">
        <v>112</v>
      </c>
      <c r="C113" s="1">
        <v>2008</v>
      </c>
      <c r="D113" s="1">
        <v>2009</v>
      </c>
      <c r="E113" s="1">
        <v>36.718608485959408</v>
      </c>
      <c r="F113" s="1">
        <v>-99.643920834274965</v>
      </c>
      <c r="G113" s="4" t="str">
        <f>HYPERLINK(CONCATENATE("https://ee-faluhong.projects.earthengine.app/view/isp-ts-evaluation#id=112 2008-&gt;2009;lat=36.71860848595941;lon=-99.64392083427497;year=2008;bf=7;level=18;"), "landsat_time_series")</f>
        <v>landsat_time_series</v>
      </c>
      <c r="H113" s="4" t="str">
        <f>HYPERLINK(CONCATENATE("https://jstnbraaten.users.earthengine.app/view/landsat-timeseries-explorer#run=true;lon=-99.64392083427497;lat=36.71860848595941;from=01-01;to=12-31;index=NDVI;rgb=NIR%2FRED%2FGREEN;chipwidth=1;"), "landsat_chips")</f>
        <v>landsat_chips</v>
      </c>
      <c r="I113" s="4" t="str">
        <f>HYPERLINK(CONCATENATE("https://livingatlas.arcgis.com/wayback/#ext=-99.64492083427497,36.719608485959405,-99.64292083427496,36.71760848595941"), "wayback")</f>
        <v>wayback</v>
      </c>
      <c r="J113" s="9" t="s">
        <v>19</v>
      </c>
      <c r="L113" s="9" t="s">
        <v>15</v>
      </c>
    </row>
    <row r="114" spans="1:13">
      <c r="A114" s="1" t="s">
        <v>45</v>
      </c>
      <c r="B114" s="1">
        <v>113</v>
      </c>
      <c r="C114" s="1">
        <v>2006</v>
      </c>
      <c r="D114" s="1">
        <v>2007</v>
      </c>
      <c r="E114" s="1">
        <v>39.980052427257213</v>
      </c>
      <c r="F114" s="1">
        <v>-82.805605220811486</v>
      </c>
      <c r="G114" s="4" t="str">
        <f>HYPERLINK(CONCATENATE("https://ee-faluhong.projects.earthengine.app/view/isp-ts-evaluation#id=113 2006-&gt;2007;lat=39.98005242725721;lon=-82.80560522081149;year=2006;bf=7;level=18;"), "landsat_time_series")</f>
        <v>landsat_time_series</v>
      </c>
      <c r="H114" s="4" t="str">
        <f>HYPERLINK(CONCATENATE("https://jstnbraaten.users.earthengine.app/view/landsat-timeseries-explorer#run=true;lon=-82.80560522081149;lat=39.98005242725721;from=01-01;to=12-31;index=NDVI;rgb=NIR%2FRED%2FGREEN;chipwidth=1;"), "landsat_chips")</f>
        <v>landsat_chips</v>
      </c>
      <c r="I114" s="4" t="str">
        <f>HYPERLINK(CONCATENATE("https://livingatlas.arcgis.com/wayback/#ext=-82.80660522081149,39.98105242725721,-82.80460522081148,39.979052427257216"), "wayback")</f>
        <v>wayback</v>
      </c>
      <c r="J114" s="9" t="s">
        <v>14</v>
      </c>
      <c r="L114" s="9" t="s">
        <v>15</v>
      </c>
    </row>
    <row r="115" spans="1:13">
      <c r="A115" s="1" t="s">
        <v>45</v>
      </c>
      <c r="B115" s="1">
        <v>114</v>
      </c>
      <c r="C115" s="1">
        <v>2017</v>
      </c>
      <c r="D115" s="1">
        <v>2018</v>
      </c>
      <c r="E115" s="1">
        <v>42.193510179553073</v>
      </c>
      <c r="F115" s="1">
        <v>-85.768208524475568</v>
      </c>
      <c r="G115" s="4" t="str">
        <f>HYPERLINK(CONCATENATE("https://ee-faluhong.projects.earthengine.app/view/isp-ts-evaluation#id=114 2017-&gt;2018;lat=42.19351017955307;lon=-85.76820852447557;year=2017;bf=7;level=18;"), "landsat_time_series")</f>
        <v>landsat_time_series</v>
      </c>
      <c r="H115" s="4" t="str">
        <f>HYPERLINK(CONCATENATE("https://jstnbraaten.users.earthengine.app/view/landsat-timeseries-explorer#run=true;lon=-85.76820852447557;lat=42.19351017955307;from=01-01;to=12-31;index=NDVI;rgb=NIR%2FRED%2FGREEN;chipwidth=1;"), "landsat_chips")</f>
        <v>landsat_chips</v>
      </c>
      <c r="I115" s="4" t="str">
        <f>HYPERLINK(CONCATENATE("https://livingatlas.arcgis.com/wayback/#ext=-85.76920852447557,42.19451017955307,-85.76720852447556,42.192510179553075"), "wayback")</f>
        <v>wayback</v>
      </c>
      <c r="J115" s="9" t="s">
        <v>17</v>
      </c>
      <c r="L115" s="9" t="s">
        <v>15</v>
      </c>
    </row>
    <row r="116" spans="1:13">
      <c r="A116" s="1" t="s">
        <v>45</v>
      </c>
      <c r="B116" s="1">
        <v>115</v>
      </c>
      <c r="C116" s="1">
        <v>2006</v>
      </c>
      <c r="D116" s="1">
        <v>2007</v>
      </c>
      <c r="E116" s="1">
        <v>35.426275909714022</v>
      </c>
      <c r="F116" s="1">
        <v>-80.652960092004349</v>
      </c>
      <c r="G116" s="4" t="str">
        <f>HYPERLINK(CONCATENATE("https://ee-faluhong.projects.earthengine.app/view/isp-ts-evaluation#id=115 2006-&gt;2007;lat=35.42627590971402;lon=-80.65296009200435;year=2006;bf=7;level=18;"), "landsat_time_series")</f>
        <v>landsat_time_series</v>
      </c>
      <c r="H116" s="4" t="str">
        <f>HYPERLINK(CONCATENATE("https://jstnbraaten.users.earthengine.app/view/landsat-timeseries-explorer#run=true;lon=-80.65296009200435;lat=35.42627590971402;from=01-01;to=12-31;index=NDVI;rgb=NIR%2FRED%2FGREEN;chipwidth=1;"), "landsat_chips")</f>
        <v>landsat_chips</v>
      </c>
      <c r="I116" s="4" t="str">
        <f>HYPERLINK(CONCATENATE("https://livingatlas.arcgis.com/wayback/#ext=-80.65396009200435,35.42727590971402,-80.65196009200434,35.425275909714024"), "wayback")</f>
        <v>wayback</v>
      </c>
      <c r="J116" s="9" t="s">
        <v>14</v>
      </c>
      <c r="L116" s="9" t="s">
        <v>15</v>
      </c>
      <c r="M116" s="9" t="s">
        <v>53</v>
      </c>
    </row>
    <row r="117" spans="1:13">
      <c r="A117" s="1" t="s">
        <v>45</v>
      </c>
      <c r="B117" s="1">
        <v>116</v>
      </c>
      <c r="C117" s="1">
        <v>2013</v>
      </c>
      <c r="D117" s="1">
        <v>2014</v>
      </c>
      <c r="E117" s="1">
        <v>37.849417891178327</v>
      </c>
      <c r="F117" s="1">
        <v>-120.9887444691428</v>
      </c>
      <c r="G117" s="4" t="str">
        <f>HYPERLINK(CONCATENATE("https://ee-faluhong.projects.earthengine.app/view/isp-ts-evaluation#id=116 2013-&gt;2014;lat=37.84941789117833;lon=-120.9887444691428;year=2013;bf=7;level=18;"), "landsat_time_series")</f>
        <v>landsat_time_series</v>
      </c>
      <c r="H117" s="4" t="str">
        <f>HYPERLINK(CONCATENATE("https://jstnbraaten.users.earthengine.app/view/landsat-timeseries-explorer#run=true;lon=-120.9887444691428;lat=37.84941789117833;from=01-01;to=12-31;index=NDVI;rgb=NIR%2FRED%2FGREEN;chipwidth=1;"), "landsat_chips")</f>
        <v>landsat_chips</v>
      </c>
      <c r="I117" s="4" t="str">
        <f>HYPERLINK(CONCATENATE("https://livingatlas.arcgis.com/wayback/#ext=-120.9897444691428,37.850417891178324,-120.9877444691428,37.84841789117833"), "wayback")</f>
        <v>wayback</v>
      </c>
      <c r="J117" s="9" t="s">
        <v>25</v>
      </c>
      <c r="K117" s="9" t="s">
        <v>26</v>
      </c>
      <c r="L117" s="9" t="s">
        <v>15</v>
      </c>
    </row>
    <row r="118" spans="1:13">
      <c r="A118" s="1" t="s">
        <v>45</v>
      </c>
      <c r="B118" s="1">
        <v>117</v>
      </c>
      <c r="C118" s="1">
        <v>2010</v>
      </c>
      <c r="D118" s="1">
        <v>2011</v>
      </c>
      <c r="E118" s="1">
        <v>30.975646025904179</v>
      </c>
      <c r="F118" s="1">
        <v>-93.292957919167193</v>
      </c>
      <c r="G118" s="4" t="str">
        <f>HYPERLINK(CONCATENATE("https://ee-faluhong.projects.earthengine.app/view/isp-ts-evaluation#id=117 2010-&gt;2011;lat=30.97564602590418;lon=-93.2929579191672;year=2010;bf=7;level=18;"), "landsat_time_series")</f>
        <v>landsat_time_series</v>
      </c>
      <c r="H118" s="4" t="str">
        <f>HYPERLINK(CONCATENATE("https://jstnbraaten.users.earthengine.app/view/landsat-timeseries-explorer#run=true;lon=-93.2929579191672;lat=30.97564602590418;from=01-01;to=12-31;index=NDVI;rgb=NIR%2FRED%2FGREEN;chipwidth=1;"), "landsat_chips")</f>
        <v>landsat_chips</v>
      </c>
      <c r="I118" s="4" t="str">
        <f>HYPERLINK(CONCATENATE("https://livingatlas.arcgis.com/wayback/#ext=-93.2939579191672,30.97664602590418,-93.29195791916719,30.97464602590418"), "wayback")</f>
        <v>wayback</v>
      </c>
      <c r="J118" s="9" t="s">
        <v>25</v>
      </c>
      <c r="K118" s="9" t="s">
        <v>26</v>
      </c>
      <c r="L118" s="9" t="s">
        <v>15</v>
      </c>
    </row>
    <row r="119" spans="1:13">
      <c r="A119" s="1" t="s">
        <v>45</v>
      </c>
      <c r="B119" s="1">
        <v>118</v>
      </c>
      <c r="C119" s="1">
        <v>2014</v>
      </c>
      <c r="D119" s="1">
        <v>2015</v>
      </c>
      <c r="E119" s="1">
        <v>36.093290468127378</v>
      </c>
      <c r="F119" s="1">
        <v>-78.531391163374764</v>
      </c>
      <c r="G119" s="4" t="str">
        <f>HYPERLINK(CONCATENATE("https://ee-faluhong.projects.earthengine.app/view/isp-ts-evaluation#id=118 2014-&gt;2015;lat=36.09329046812738;lon=-78.53139116337476;year=2014;bf=7;level=18;"), "landsat_time_series")</f>
        <v>landsat_time_series</v>
      </c>
      <c r="H119" s="4" t="str">
        <f>HYPERLINK(CONCATENATE("https://jstnbraaten.users.earthengine.app/view/landsat-timeseries-explorer#run=true;lon=-78.53139116337476;lat=36.09329046812738;from=01-01;to=12-31;index=NDVI;rgb=NIR%2FRED%2FGREEN;chipwidth=1;"), "landsat_chips")</f>
        <v>landsat_chips</v>
      </c>
      <c r="I119" s="4" t="str">
        <f>HYPERLINK(CONCATENATE("https://livingatlas.arcgis.com/wayback/#ext=-78.53239116337477,36.094290468127376,-78.53039116337476,36.09229046812738"), "wayback")</f>
        <v>wayback</v>
      </c>
      <c r="J119" s="9" t="s">
        <v>17</v>
      </c>
      <c r="L119" s="9" t="s">
        <v>24</v>
      </c>
    </row>
    <row r="120" spans="1:13">
      <c r="A120" s="1" t="s">
        <v>45</v>
      </c>
      <c r="B120" s="1">
        <v>119</v>
      </c>
      <c r="C120" s="1">
        <v>2012</v>
      </c>
      <c r="D120" s="1">
        <v>2013</v>
      </c>
      <c r="E120" s="1">
        <v>39.278195282100782</v>
      </c>
      <c r="F120" s="1">
        <v>-97.789426370815065</v>
      </c>
      <c r="G120" s="4" t="str">
        <f>HYPERLINK(CONCATENATE("https://ee-faluhong.projects.earthengine.app/view/isp-ts-evaluation#id=119 2012-&gt;2013;lat=39.27819528210078;lon=-97.78942637081506;year=2012;bf=7;level=18;"), "landsat_time_series")</f>
        <v>landsat_time_series</v>
      </c>
      <c r="H120" s="4" t="str">
        <f>HYPERLINK(CONCATENATE("https://jstnbraaten.users.earthengine.app/view/landsat-timeseries-explorer#run=true;lon=-97.78942637081506;lat=39.27819528210078;from=01-01;to=12-31;index=NDVI;rgb=NIR%2FRED%2FGREEN;chipwidth=1;"), "landsat_chips")</f>
        <v>landsat_chips</v>
      </c>
      <c r="I120" s="4" t="str">
        <f>HYPERLINK(CONCATENATE("https://livingatlas.arcgis.com/wayback/#ext=-97.79042637081507,39.27919528210078,-97.78842637081506,39.277195282100784"), "wayback")</f>
        <v>wayback</v>
      </c>
      <c r="J120" s="9" t="s">
        <v>19</v>
      </c>
      <c r="L120" s="9" t="s">
        <v>15</v>
      </c>
    </row>
    <row r="121" spans="1:13">
      <c r="A121" s="1" t="s">
        <v>45</v>
      </c>
      <c r="B121" s="1">
        <v>120</v>
      </c>
      <c r="C121" s="1">
        <v>2002</v>
      </c>
      <c r="D121" s="1">
        <v>2003</v>
      </c>
      <c r="E121" s="1">
        <v>33.913924862653289</v>
      </c>
      <c r="F121" s="1">
        <v>-85.037864372255626</v>
      </c>
      <c r="G121" s="4" t="str">
        <f>HYPERLINK(CONCATENATE("https://ee-faluhong.projects.earthengine.app/view/isp-ts-evaluation#id=120 2002-&gt;2003;lat=33.91392486265329;lon=-85.03786437225563;year=2002;bf=7;level=18;"), "landsat_time_series")</f>
        <v>landsat_time_series</v>
      </c>
      <c r="H121" s="4" t="str">
        <f>HYPERLINK(CONCATENATE("https://jstnbraaten.users.earthengine.app/view/landsat-timeseries-explorer#run=true;lon=-85.03786437225563;lat=33.91392486265329;from=01-01;to=12-31;index=NDVI;rgb=NIR%2FRED%2FGREEN;chipwidth=1;"), "landsat_chips")</f>
        <v>landsat_chips</v>
      </c>
      <c r="I121" s="4" t="str">
        <f>HYPERLINK(CONCATENATE("https://livingatlas.arcgis.com/wayback/#ext=-85.03886437225563,33.91492486265329,-85.03686437225562,33.91292486265329"), "wayback")</f>
        <v>wayback</v>
      </c>
      <c r="J121" s="9" t="s">
        <v>25</v>
      </c>
      <c r="K121" s="9" t="s">
        <v>26</v>
      </c>
      <c r="L121" s="9" t="s">
        <v>15</v>
      </c>
    </row>
    <row r="122" spans="1:13">
      <c r="A122" s="1" t="s">
        <v>45</v>
      </c>
      <c r="B122" s="1">
        <v>121</v>
      </c>
      <c r="C122" s="1">
        <v>2013</v>
      </c>
      <c r="D122" s="1">
        <v>2014</v>
      </c>
      <c r="E122" s="1">
        <v>26.034465752625199</v>
      </c>
      <c r="F122" s="1">
        <v>-80.24652398726505</v>
      </c>
      <c r="G122" s="4" t="str">
        <f>HYPERLINK(CONCATENATE("https://ee-faluhong.projects.earthengine.app/view/isp-ts-evaluation#id=121 2013-&gt;2014;lat=26.0344657526252;lon=-80.24652398726505;year=2013;bf=7;level=18;"), "landsat_time_series")</f>
        <v>landsat_time_series</v>
      </c>
      <c r="H122" s="4" t="str">
        <f>HYPERLINK(CONCATENATE("https://jstnbraaten.users.earthengine.app/view/landsat-timeseries-explorer#run=true;lon=-80.24652398726505;lat=26.0344657526252;from=01-01;to=12-31;index=NDVI;rgb=NIR%2FRED%2FGREEN;chipwidth=1;"), "landsat_chips")</f>
        <v>landsat_chips</v>
      </c>
      <c r="I122" s="4" t="str">
        <f>HYPERLINK(CONCATENATE("https://livingatlas.arcgis.com/wayback/#ext=-80.24752398726505,26.0354657526252,-80.24552398726505,26.033465752625197"), "wayback")</f>
        <v>wayback</v>
      </c>
      <c r="J122" s="9" t="s">
        <v>17</v>
      </c>
      <c r="L122" s="9" t="s">
        <v>24</v>
      </c>
    </row>
    <row r="123" spans="1:13">
      <c r="A123" s="1" t="s">
        <v>45</v>
      </c>
      <c r="B123" s="1">
        <v>122</v>
      </c>
      <c r="C123" s="1">
        <v>2016</v>
      </c>
      <c r="D123" s="1">
        <v>2017</v>
      </c>
      <c r="E123" s="1">
        <v>45.039841625902362</v>
      </c>
      <c r="F123" s="1">
        <v>-96.120462777206527</v>
      </c>
      <c r="G123" s="4" t="str">
        <f>HYPERLINK(CONCATENATE("https://ee-faluhong.projects.earthengine.app/view/isp-ts-evaluation#id=122 2016-&gt;2017;lat=45.03984162590236;lon=-96.12046277720653;year=2016;bf=7;level=18;"), "landsat_time_series")</f>
        <v>landsat_time_series</v>
      </c>
      <c r="H123" s="4" t="str">
        <f>HYPERLINK(CONCATENATE("https://jstnbraaten.users.earthengine.app/view/landsat-timeseries-explorer#run=true;lon=-96.12046277720653;lat=45.03984162590236;from=01-01;to=12-31;index=NDVI;rgb=NIR%2FRED%2FGREEN;chipwidth=1;"), "landsat_chips")</f>
        <v>landsat_chips</v>
      </c>
      <c r="I123" s="4" t="str">
        <f>HYPERLINK(CONCATENATE("https://livingatlas.arcgis.com/wayback/#ext=-96.12146277720653,45.04084162590236,-96.11946277720652,45.038841625902364"), "wayback")</f>
        <v>wayback</v>
      </c>
      <c r="J123" s="9" t="s">
        <v>19</v>
      </c>
      <c r="L123" s="9" t="s">
        <v>15</v>
      </c>
    </row>
    <row r="124" spans="1:13">
      <c r="A124" s="1" t="s">
        <v>45</v>
      </c>
      <c r="B124" s="1">
        <v>123</v>
      </c>
      <c r="C124" s="1">
        <v>2012</v>
      </c>
      <c r="D124" s="1">
        <v>2013</v>
      </c>
      <c r="E124" s="1">
        <v>27.099351501165149</v>
      </c>
      <c r="F124" s="1">
        <v>-82.393118579758408</v>
      </c>
      <c r="G124" s="4" t="str">
        <f>HYPERLINK(CONCATENATE("https://ee-faluhong.projects.earthengine.app/view/isp-ts-evaluation#id=123 2012-&gt;2013;lat=27.09935150116515;lon=-82.39311857975841;year=2012;bf=7;level=18;"), "landsat_time_series")</f>
        <v>landsat_time_series</v>
      </c>
      <c r="H124" s="4" t="str">
        <f>HYPERLINK(CONCATENATE("https://jstnbraaten.users.earthengine.app/view/landsat-timeseries-explorer#run=true;lon=-82.39311857975841;lat=27.09935150116515;from=01-01;to=12-31;index=NDVI;rgb=NIR%2FRED%2FGREEN;chipwidth=1;"), "landsat_chips")</f>
        <v>landsat_chips</v>
      </c>
      <c r="I124" s="4" t="str">
        <f>HYPERLINK(CONCATENATE("https://livingatlas.arcgis.com/wayback/#ext=-82.39411857975841,27.10035150116515,-82.3921185797584,27.098351501165148"), "wayback")</f>
        <v>wayback</v>
      </c>
      <c r="J124" s="9" t="s">
        <v>21</v>
      </c>
      <c r="L124" s="9" t="s">
        <v>24</v>
      </c>
      <c r="M124" s="9" t="s">
        <v>48</v>
      </c>
    </row>
    <row r="125" spans="1:13">
      <c r="A125" s="1" t="s">
        <v>45</v>
      </c>
      <c r="B125" s="1">
        <v>124</v>
      </c>
      <c r="C125" s="1">
        <v>2005</v>
      </c>
      <c r="D125" s="1">
        <v>2006</v>
      </c>
      <c r="E125" s="1">
        <v>38.66559629858299</v>
      </c>
      <c r="F125" s="1">
        <v>-121.5036810785072</v>
      </c>
      <c r="G125" s="4" t="str">
        <f>HYPERLINK(CONCATENATE("https://ee-faluhong.projects.earthengine.app/view/isp-ts-evaluation#id=124 2005-&gt;2006;lat=38.66559629858299;lon=-121.5036810785072;year=2005;bf=7;level=18;"), "landsat_time_series")</f>
        <v>landsat_time_series</v>
      </c>
      <c r="H125" s="4" t="str">
        <f>HYPERLINK(CONCATENATE("https://jstnbraaten.users.earthengine.app/view/landsat-timeseries-explorer#run=true;lon=-121.5036810785072;lat=38.66559629858299;from=01-01;to=12-31;index=NDVI;rgb=NIR%2FRED%2FGREEN;chipwidth=1;"), "landsat_chips")</f>
        <v>landsat_chips</v>
      </c>
      <c r="I125" s="4" t="str">
        <f>HYPERLINK(CONCATENATE("https://livingatlas.arcgis.com/wayback/#ext=-121.5046810785072,38.66659629858299,-121.5026810785072,38.66459629858299"), "wayback")</f>
        <v>wayback</v>
      </c>
      <c r="J125" s="9" t="s">
        <v>25</v>
      </c>
      <c r="K125" s="9" t="s">
        <v>26</v>
      </c>
      <c r="L125" s="9" t="s">
        <v>24</v>
      </c>
      <c r="M125" s="9" t="s">
        <v>54</v>
      </c>
    </row>
    <row r="126" spans="1:13">
      <c r="A126" s="1" t="s">
        <v>45</v>
      </c>
      <c r="B126" s="1">
        <v>125</v>
      </c>
      <c r="C126" s="1">
        <v>2019</v>
      </c>
      <c r="D126" s="1">
        <v>2020</v>
      </c>
      <c r="E126" s="1">
        <v>40.881941109908297</v>
      </c>
      <c r="F126" s="1">
        <v>-123.5505630282096</v>
      </c>
      <c r="G126" s="4" t="str">
        <f>HYPERLINK(CONCATENATE("https://ee-faluhong.projects.earthengine.app/view/isp-ts-evaluation#id=125 2019-&gt;2020;lat=40.8819411099083;lon=-123.5505630282096;year=2019;bf=7;level=18;"), "landsat_time_series")</f>
        <v>landsat_time_series</v>
      </c>
      <c r="H126" s="4" t="str">
        <f>HYPERLINK(CONCATENATE("https://jstnbraaten.users.earthengine.app/view/landsat-timeseries-explorer#run=true;lon=-123.5505630282096;lat=40.8819411099083;from=01-01;to=12-31;index=NDVI;rgb=NIR%2FRED%2FGREEN;chipwidth=1;"), "landsat_chips")</f>
        <v>landsat_chips</v>
      </c>
      <c r="I126" s="4" t="str">
        <f>HYPERLINK(CONCATENATE("https://livingatlas.arcgis.com/wayback/#ext=-123.5515630282096,40.882941109908295,-123.54956302820959,40.8809411099083"), "wayback")</f>
        <v>wayback</v>
      </c>
      <c r="J126" s="9" t="s">
        <v>17</v>
      </c>
      <c r="L126" s="9" t="s">
        <v>24</v>
      </c>
    </row>
    <row r="127" spans="1:13">
      <c r="A127" s="1" t="s">
        <v>45</v>
      </c>
      <c r="B127" s="1">
        <v>126</v>
      </c>
      <c r="C127" s="1">
        <v>2003</v>
      </c>
      <c r="D127" s="1">
        <v>2004</v>
      </c>
      <c r="E127" s="1">
        <v>35.078804193873367</v>
      </c>
      <c r="F127" s="1">
        <v>-91.947541810588234</v>
      </c>
      <c r="G127" s="4" t="str">
        <f>HYPERLINK(CONCATENATE("https://ee-faluhong.projects.earthengine.app/view/isp-ts-evaluation#id=126 2003-&gt;2004;lat=35.07880419387337;lon=-91.94754181058823;year=2003;bf=7;level=18;"), "landsat_time_series")</f>
        <v>landsat_time_series</v>
      </c>
      <c r="H127" s="4" t="str">
        <f>HYPERLINK(CONCATENATE("https://jstnbraaten.users.earthengine.app/view/landsat-timeseries-explorer#run=true;lon=-91.94754181058823;lat=35.07880419387337;from=01-01;to=12-31;index=NDVI;rgb=NIR%2FRED%2FGREEN;chipwidth=1;"), "landsat_chips")</f>
        <v>landsat_chips</v>
      </c>
      <c r="I127" s="4" t="str">
        <f>HYPERLINK(CONCATENATE("https://livingatlas.arcgis.com/wayback/#ext=-91.94854181058824,35.079804193873365,-91.94654181058823,35.07780419387337"), "wayback")</f>
        <v>wayback</v>
      </c>
      <c r="J127" s="9" t="s">
        <v>19</v>
      </c>
      <c r="L127" s="9" t="s">
        <v>15</v>
      </c>
    </row>
    <row r="128" spans="1:13">
      <c r="A128" s="1" t="s">
        <v>45</v>
      </c>
      <c r="B128" s="1">
        <v>127</v>
      </c>
      <c r="C128" s="1">
        <v>2006</v>
      </c>
      <c r="D128" s="1">
        <v>2007</v>
      </c>
      <c r="E128" s="1">
        <v>30.194208903268869</v>
      </c>
      <c r="F128" s="1">
        <v>-81.702700348959411</v>
      </c>
      <c r="G128" s="4" t="str">
        <f>HYPERLINK(CONCATENATE("https://ee-faluhong.projects.earthengine.app/view/isp-ts-evaluation#id=127 2006-&gt;2007;lat=30.19420890326887;lon=-81.70270034895941;year=2006;bf=7;level=18;"), "landsat_time_series")</f>
        <v>landsat_time_series</v>
      </c>
      <c r="H128" s="4" t="str">
        <f>HYPERLINK(CONCATENATE("https://jstnbraaten.users.earthengine.app/view/landsat-timeseries-explorer#run=true;lon=-81.70270034895941;lat=30.19420890326887;from=01-01;to=12-31;index=NDVI;rgb=NIR%2FRED%2FGREEN;chipwidth=1;"), "landsat_chips")</f>
        <v>landsat_chips</v>
      </c>
      <c r="I128" s="4" t="str">
        <f>HYPERLINK(CONCATENATE("https://livingatlas.arcgis.com/wayback/#ext=-81.70370034895942,30.19520890326887,-81.7017003489594,30.193208903268868"), "wayback")</f>
        <v>wayback</v>
      </c>
      <c r="J128" s="9" t="s">
        <v>19</v>
      </c>
      <c r="L128" s="9" t="s">
        <v>24</v>
      </c>
    </row>
    <row r="129" spans="1:13">
      <c r="A129" s="1" t="s">
        <v>45</v>
      </c>
      <c r="B129" s="1">
        <v>128</v>
      </c>
      <c r="C129" s="1">
        <v>2008</v>
      </c>
      <c r="D129" s="1">
        <v>2009</v>
      </c>
      <c r="E129" s="1">
        <v>37.258765738119919</v>
      </c>
      <c r="F129" s="1">
        <v>-119.7233953093934</v>
      </c>
      <c r="G129" s="4" t="str">
        <f>HYPERLINK(CONCATENATE("https://ee-faluhong.projects.earthengine.app/view/isp-ts-evaluation#id=128 2008-&gt;2009;lat=37.25876573811992;lon=-119.7233953093934;year=2008;bf=7;level=18;"), "landsat_time_series")</f>
        <v>landsat_time_series</v>
      </c>
      <c r="H129" s="4" t="str">
        <f>HYPERLINK(CONCATENATE("https://jstnbraaten.users.earthengine.app/view/landsat-timeseries-explorer#run=true;lon=-119.7233953093934;lat=37.25876573811992;from=01-01;to=12-31;index=NDVI;rgb=NIR%2FRED%2FGREEN;chipwidth=1;"), "landsat_chips")</f>
        <v>landsat_chips</v>
      </c>
      <c r="I129" s="4" t="str">
        <f>HYPERLINK(CONCATENATE("https://livingatlas.arcgis.com/wayback/#ext=-119.7243953093934,37.25976573811992,-119.72239530939339,37.25776573811992"), "wayback")</f>
        <v>wayback</v>
      </c>
      <c r="J129" s="9" t="s">
        <v>17</v>
      </c>
      <c r="L129" s="9" t="s">
        <v>24</v>
      </c>
    </row>
    <row r="130" spans="1:13">
      <c r="A130" s="1" t="s">
        <v>45</v>
      </c>
      <c r="B130" s="1">
        <v>129</v>
      </c>
      <c r="C130" s="1">
        <v>2002</v>
      </c>
      <c r="D130" s="1">
        <v>2003</v>
      </c>
      <c r="E130" s="1">
        <v>35.025175118962252</v>
      </c>
      <c r="F130" s="1">
        <v>-84.338434476802149</v>
      </c>
      <c r="G130" s="4" t="str">
        <f>HYPERLINK(CONCATENATE("https://ee-faluhong.projects.earthengine.app/view/isp-ts-evaluation#id=129 2002-&gt;2003;lat=35.02517511896225;lon=-84.33843447680215;year=2002;bf=7;level=18;"), "landsat_time_series")</f>
        <v>landsat_time_series</v>
      </c>
      <c r="H130" s="4" t="str">
        <f>HYPERLINK(CONCATENATE("https://jstnbraaten.users.earthengine.app/view/landsat-timeseries-explorer#run=true;lon=-84.33843447680215;lat=35.02517511896225;from=01-01;to=12-31;index=NDVI;rgb=NIR%2FRED%2FGREEN;chipwidth=1;"), "landsat_chips")</f>
        <v>landsat_chips</v>
      </c>
      <c r="I130" s="4" t="str">
        <f>HYPERLINK(CONCATENATE("https://livingatlas.arcgis.com/wayback/#ext=-84.33943447680215,35.02617511896225,-84.33743447680214,35.024175118962255"), "wayback")</f>
        <v>wayback</v>
      </c>
      <c r="J130" s="9" t="s">
        <v>25</v>
      </c>
      <c r="K130" s="9" t="s">
        <v>26</v>
      </c>
      <c r="L130" s="9" t="s">
        <v>31</v>
      </c>
      <c r="M130" s="9" t="s">
        <v>51</v>
      </c>
    </row>
    <row r="131" spans="1:13">
      <c r="A131" s="1" t="s">
        <v>45</v>
      </c>
      <c r="B131" s="1">
        <v>130</v>
      </c>
      <c r="C131" s="1">
        <v>2002</v>
      </c>
      <c r="D131" s="1">
        <v>2003</v>
      </c>
      <c r="E131" s="1">
        <v>47.21165038320482</v>
      </c>
      <c r="F131" s="1">
        <v>-122.85864072969309</v>
      </c>
      <c r="G131" s="4" t="str">
        <f>HYPERLINK(CONCATENATE("https://ee-faluhong.projects.earthengine.app/view/isp-ts-evaluation#id=130 2002-&gt;2003;lat=47.21165038320482;lon=-122.8586407296931;year=2002;bf=7;level=18;"), "landsat_time_series")</f>
        <v>landsat_time_series</v>
      </c>
      <c r="H131" s="4" t="str">
        <f>HYPERLINK(CONCATENATE("https://jstnbraaten.users.earthengine.app/view/landsat-timeseries-explorer#run=true;lon=-122.8586407296931;lat=47.21165038320482;from=01-01;to=12-31;index=NDVI;rgb=NIR%2FRED%2FGREEN;chipwidth=1;"), "landsat_chips")</f>
        <v>landsat_chips</v>
      </c>
      <c r="I131" s="4" t="str">
        <f>HYPERLINK(CONCATENATE("https://livingatlas.arcgis.com/wayback/#ext=-122.8596407296931,47.21265038320482,-122.85764072969309,47.21065038320482"), "wayback")</f>
        <v>wayback</v>
      </c>
      <c r="J131" s="9" t="s">
        <v>25</v>
      </c>
      <c r="K131" s="9" t="s">
        <v>26</v>
      </c>
      <c r="L131" s="9" t="s">
        <v>24</v>
      </c>
    </row>
    <row r="132" spans="1:13">
      <c r="A132" s="1" t="s">
        <v>45</v>
      </c>
      <c r="B132" s="1">
        <v>131</v>
      </c>
      <c r="C132" s="1">
        <v>2004</v>
      </c>
      <c r="D132" s="1">
        <v>2005</v>
      </c>
      <c r="E132" s="1">
        <v>48.001487876480809</v>
      </c>
      <c r="F132" s="1">
        <v>-105.77637706809411</v>
      </c>
      <c r="G132" s="4" t="str">
        <f>HYPERLINK(CONCATENATE("https://ee-faluhong.projects.earthengine.app/view/isp-ts-evaluation#id=131 2004-&gt;2005;lat=48.00148787648081;lon=-105.7763770680941;year=2004;bf=7;level=18;"), "landsat_time_series")</f>
        <v>landsat_time_series</v>
      </c>
      <c r="H132" s="4" t="str">
        <f>HYPERLINK(CONCATENATE("https://jstnbraaten.users.earthengine.app/view/landsat-timeseries-explorer#run=true;lon=-105.7763770680941;lat=48.00148787648081;from=01-01;to=12-31;index=NDVI;rgb=NIR%2FRED%2FGREEN;chipwidth=1;"), "landsat_chips")</f>
        <v>landsat_chips</v>
      </c>
      <c r="I132" s="4" t="str">
        <f>HYPERLINK(CONCATENATE("https://livingatlas.arcgis.com/wayback/#ext=-105.77737706809411,48.00248787648081,-105.7753770680941,48.00048787648081"), "wayback")</f>
        <v>wayback</v>
      </c>
      <c r="J132" s="9" t="s">
        <v>19</v>
      </c>
      <c r="L132" s="9" t="s">
        <v>15</v>
      </c>
    </row>
    <row r="133" spans="1:13">
      <c r="A133" s="1" t="s">
        <v>45</v>
      </c>
      <c r="B133" s="1">
        <v>132</v>
      </c>
      <c r="C133" s="1">
        <v>2002</v>
      </c>
      <c r="D133" s="1">
        <v>2003</v>
      </c>
      <c r="E133" s="1">
        <v>37.709108681825953</v>
      </c>
      <c r="F133" s="1">
        <v>-121.70200057230311</v>
      </c>
      <c r="G133" s="4" t="str">
        <f>HYPERLINK(CONCATENATE("https://ee-faluhong.projects.earthengine.app/view/isp-ts-evaluation#id=132 2002-&gt;2003;lat=37.70910868182595;lon=-121.7020005723031;year=2002;bf=7;level=18;"), "landsat_time_series")</f>
        <v>landsat_time_series</v>
      </c>
      <c r="H133" s="4" t="str">
        <f>HYPERLINK(CONCATENATE("https://jstnbraaten.users.earthengine.app/view/landsat-timeseries-explorer#run=true;lon=-121.7020005723031;lat=37.70910868182595;from=01-01;to=12-31;index=NDVI;rgb=NIR%2FRED%2FGREEN;chipwidth=1;"), "landsat_chips")</f>
        <v>landsat_chips</v>
      </c>
      <c r="I133" s="4" t="str">
        <f>HYPERLINK(CONCATENATE("https://livingatlas.arcgis.com/wayback/#ext=-121.70300057230311,37.71010868182595,-121.7010005723031,37.708108681825955"), "wayback")</f>
        <v>wayback</v>
      </c>
      <c r="J133" s="9" t="s">
        <v>25</v>
      </c>
      <c r="K133" s="9" t="s">
        <v>26</v>
      </c>
      <c r="L133" s="9" t="s">
        <v>24</v>
      </c>
      <c r="M133" s="9" t="s">
        <v>55</v>
      </c>
    </row>
    <row r="134" spans="1:13">
      <c r="A134" s="1" t="s">
        <v>45</v>
      </c>
      <c r="B134" s="1">
        <v>133</v>
      </c>
      <c r="C134" s="1">
        <v>2014</v>
      </c>
      <c r="D134" s="1">
        <v>2015</v>
      </c>
      <c r="E134" s="1">
        <v>36.020177440613388</v>
      </c>
      <c r="F134" s="1">
        <v>-83.903952885075327</v>
      </c>
      <c r="G134" s="4" t="str">
        <f>HYPERLINK(CONCATENATE("https://ee-faluhong.projects.earthengine.app/view/isp-ts-evaluation#id=133 2014-&gt;2015;lat=36.02017744061339;lon=-83.90395288507533;year=2014;bf=7;level=18;"), "landsat_time_series")</f>
        <v>landsat_time_series</v>
      </c>
      <c r="H134" s="4" t="str">
        <f>HYPERLINK(CONCATENATE("https://jstnbraaten.users.earthengine.app/view/landsat-timeseries-explorer#run=true;lon=-83.90395288507533;lat=36.02017744061339;from=01-01;to=12-31;index=NDVI;rgb=NIR%2FRED%2FGREEN;chipwidth=1;"), "landsat_chips")</f>
        <v>landsat_chips</v>
      </c>
      <c r="I134" s="4" t="str">
        <f>HYPERLINK(CONCATENATE("https://livingatlas.arcgis.com/wayback/#ext=-83.90495288507533,36.021177440613386,-83.90295288507532,36.01917744061339"), "wayback")</f>
        <v>wayback</v>
      </c>
      <c r="J134" s="9" t="s">
        <v>17</v>
      </c>
      <c r="L134" s="9" t="s">
        <v>24</v>
      </c>
    </row>
    <row r="135" spans="1:13">
      <c r="A135" s="1" t="s">
        <v>45</v>
      </c>
      <c r="B135" s="1">
        <v>134</v>
      </c>
      <c r="C135" s="1">
        <v>2013</v>
      </c>
      <c r="D135" s="1">
        <v>2014</v>
      </c>
      <c r="E135" s="1">
        <v>46.440564820137318</v>
      </c>
      <c r="F135" s="1">
        <v>-91.510367605597722</v>
      </c>
      <c r="G135" s="4" t="str">
        <f>HYPERLINK(CONCATENATE("https://ee-faluhong.projects.earthengine.app/view/isp-ts-evaluation#id=134 2013-&gt;2014;lat=46.44056482013732;lon=-91.51036760559772;year=2013;bf=7;level=18;"), "landsat_time_series")</f>
        <v>landsat_time_series</v>
      </c>
      <c r="H135" s="4" t="str">
        <f>HYPERLINK(CONCATENATE("https://jstnbraaten.users.earthengine.app/view/landsat-timeseries-explorer#run=true;lon=-91.51036760559772;lat=46.44056482013732;from=01-01;to=12-31;index=NDVI;rgb=NIR%2FRED%2FGREEN;chipwidth=1;"), "landsat_chips")</f>
        <v>landsat_chips</v>
      </c>
      <c r="I135" s="4" t="str">
        <f>HYPERLINK(CONCATENATE("https://livingatlas.arcgis.com/wayback/#ext=-91.51136760559773,46.441564820137316,-91.50936760559772,46.43956482013732"), "wayback")</f>
        <v>wayback</v>
      </c>
      <c r="J135" s="9" t="s">
        <v>21</v>
      </c>
      <c r="L135" s="9" t="s">
        <v>56</v>
      </c>
      <c r="M135" s="9" t="s">
        <v>57</v>
      </c>
    </row>
    <row r="136" spans="1:13">
      <c r="A136" s="1" t="s">
        <v>45</v>
      </c>
      <c r="B136" s="1">
        <v>135</v>
      </c>
      <c r="C136" s="1">
        <v>2012</v>
      </c>
      <c r="D136" s="1">
        <v>2013</v>
      </c>
      <c r="E136" s="1">
        <v>36.813076368408943</v>
      </c>
      <c r="F136" s="1">
        <v>-119.4053722704578</v>
      </c>
      <c r="G136" s="4" t="str">
        <f>HYPERLINK(CONCATENATE("https://ee-faluhong.projects.earthengine.app/view/isp-ts-evaluation#id=135 2012-&gt;2013;lat=36.81307636840894;lon=-119.4053722704578;year=2012;bf=7;level=18;"), "landsat_time_series")</f>
        <v>landsat_time_series</v>
      </c>
      <c r="H136" s="4" t="str">
        <f>HYPERLINK(CONCATENATE("https://jstnbraaten.users.earthengine.app/view/landsat-timeseries-explorer#run=true;lon=-119.4053722704578;lat=36.81307636840894;from=01-01;to=12-31;index=NDVI;rgb=NIR%2FRED%2FGREEN;chipwidth=1;"), "landsat_chips")</f>
        <v>landsat_chips</v>
      </c>
      <c r="I136" s="4" t="str">
        <f>HYPERLINK(CONCATENATE("https://livingatlas.arcgis.com/wayback/#ext=-119.40637227045781,36.81407636840894,-119.4043722704578,36.812076368408945"), "wayback")</f>
        <v>wayback</v>
      </c>
      <c r="J136" s="9" t="s">
        <v>19</v>
      </c>
      <c r="L136" s="9" t="s">
        <v>15</v>
      </c>
    </row>
    <row r="137" spans="1:13">
      <c r="A137" s="1" t="s">
        <v>45</v>
      </c>
      <c r="B137" s="1">
        <v>136</v>
      </c>
      <c r="C137" s="1">
        <v>2016</v>
      </c>
      <c r="D137" s="1">
        <v>2017</v>
      </c>
      <c r="E137" s="1">
        <v>32.30500493855822</v>
      </c>
      <c r="F137" s="1">
        <v>-106.78357357265671</v>
      </c>
      <c r="G137" s="4" t="str">
        <f>HYPERLINK(CONCATENATE("https://ee-faluhong.projects.earthengine.app/view/isp-ts-evaluation#id=136 2016-&gt;2017;lat=32.30500493855822;lon=-106.7835735726567;year=2016;bf=7;level=18;"), "landsat_time_series")</f>
        <v>landsat_time_series</v>
      </c>
      <c r="H137" s="4" t="str">
        <f>HYPERLINK(CONCATENATE("https://jstnbraaten.users.earthengine.app/view/landsat-timeseries-explorer#run=true;lon=-106.7835735726567;lat=32.30500493855822;from=01-01;to=12-31;index=NDVI;rgb=NIR%2FRED%2FGREEN;chipwidth=1;"), "landsat_chips")</f>
        <v>landsat_chips</v>
      </c>
      <c r="I137" s="4" t="str">
        <f>HYPERLINK(CONCATENATE("https://livingatlas.arcgis.com/wayback/#ext=-106.78457357265671,32.30600493855822,-106.7825735726567,32.30400493855822"), "wayback")</f>
        <v>wayback</v>
      </c>
      <c r="J137" s="9" t="s">
        <v>25</v>
      </c>
      <c r="K137" s="9" t="s">
        <v>26</v>
      </c>
      <c r="L137" s="9" t="s">
        <v>15</v>
      </c>
    </row>
    <row r="138" spans="1:13">
      <c r="A138" s="1" t="s">
        <v>45</v>
      </c>
      <c r="B138" s="1">
        <v>137</v>
      </c>
      <c r="C138" s="1">
        <v>2005</v>
      </c>
      <c r="D138" s="1">
        <v>2006</v>
      </c>
      <c r="E138" s="1">
        <v>27.200695439634721</v>
      </c>
      <c r="F138" s="1">
        <v>-80.274435176826429</v>
      </c>
      <c r="G138" s="4" t="str">
        <f>HYPERLINK(CONCATENATE("https://ee-faluhong.projects.earthengine.app/view/isp-ts-evaluation#id=137 2005-&gt;2006;lat=27.20069543963472;lon=-80.27443517682643;year=2005;bf=7;level=18;"), "landsat_time_series")</f>
        <v>landsat_time_series</v>
      </c>
      <c r="H138" s="4" t="str">
        <f>HYPERLINK(CONCATENATE("https://jstnbraaten.users.earthengine.app/view/landsat-timeseries-explorer#run=true;lon=-80.27443517682643;lat=27.20069543963472;from=01-01;to=12-31;index=NDVI;rgb=NIR%2FRED%2FGREEN;chipwidth=1;"), "landsat_chips")</f>
        <v>landsat_chips</v>
      </c>
      <c r="I138" s="4" t="str">
        <f>HYPERLINK(CONCATENATE("https://livingatlas.arcgis.com/wayback/#ext=-80.27543517682643,27.201695439634722,-80.27343517682642,27.19969543963472"), "wayback")</f>
        <v>wayback</v>
      </c>
      <c r="J138" s="9" t="s">
        <v>25</v>
      </c>
      <c r="K138" s="9" t="s">
        <v>26</v>
      </c>
      <c r="L138" s="9" t="s">
        <v>24</v>
      </c>
      <c r="M138" s="9" t="s">
        <v>58</v>
      </c>
    </row>
    <row r="139" spans="1:13">
      <c r="A139" s="1" t="s">
        <v>45</v>
      </c>
      <c r="B139" s="1">
        <v>138</v>
      </c>
      <c r="C139" s="1">
        <v>2017</v>
      </c>
      <c r="D139" s="1">
        <v>2018</v>
      </c>
      <c r="E139" s="1">
        <v>37.807018798348103</v>
      </c>
      <c r="F139" s="1">
        <v>-122.426626373606</v>
      </c>
      <c r="G139" s="4" t="str">
        <f>HYPERLINK(CONCATENATE("https://ee-faluhong.projects.earthengine.app/view/isp-ts-evaluation#id=138 2017-&gt;2018;lat=37.8070187983481;lon=-122.426626373606;year=2017;bf=7;level=18;"), "landsat_time_series")</f>
        <v>landsat_time_series</v>
      </c>
      <c r="H139" s="4" t="str">
        <f>HYPERLINK(CONCATENATE("https://jstnbraaten.users.earthengine.app/view/landsat-timeseries-explorer#run=true;lon=-122.426626373606;lat=37.8070187983481;from=01-01;to=12-31;index=NDVI;rgb=NIR%2FRED%2FGREEN;chipwidth=1;"), "landsat_chips")</f>
        <v>landsat_chips</v>
      </c>
      <c r="I139" s="4" t="str">
        <f>HYPERLINK(CONCATENATE("https://livingatlas.arcgis.com/wayback/#ext=-122.427626373606,37.8080187983481,-122.425626373606,37.806018798348106"), "wayback")</f>
        <v>wayback</v>
      </c>
      <c r="J139" s="9" t="s">
        <v>14</v>
      </c>
      <c r="L139" s="9" t="s">
        <v>15</v>
      </c>
      <c r="M139" s="9" t="s">
        <v>59</v>
      </c>
    </row>
    <row r="140" spans="1:13">
      <c r="A140" s="1" t="s">
        <v>45</v>
      </c>
      <c r="B140" s="1">
        <v>139</v>
      </c>
      <c r="C140" s="1">
        <v>2009</v>
      </c>
      <c r="D140" s="1">
        <v>2010</v>
      </c>
      <c r="E140" s="1">
        <v>40.791045168340602</v>
      </c>
      <c r="F140" s="1">
        <v>-74.493241504151143</v>
      </c>
      <c r="G140" s="4" t="str">
        <f>HYPERLINK(CONCATENATE("https://ee-faluhong.projects.earthengine.app/view/isp-ts-evaluation#id=139 2009-&gt;2010;lat=40.7910451683406;lon=-74.49324150415114;year=2009;bf=7;level=18;"), "landsat_time_series")</f>
        <v>landsat_time_series</v>
      </c>
      <c r="H140" s="4" t="str">
        <f>HYPERLINK(CONCATENATE("https://jstnbraaten.users.earthengine.app/view/landsat-timeseries-explorer#run=true;lon=-74.49324150415114;lat=40.7910451683406;from=01-01;to=12-31;index=NDVI;rgb=NIR%2FRED%2FGREEN;chipwidth=1;"), "landsat_chips")</f>
        <v>landsat_chips</v>
      </c>
      <c r="I140" s="4" t="str">
        <f>HYPERLINK(CONCATENATE("https://livingatlas.arcgis.com/wayback/#ext=-74.49424150415115,40.7920451683406,-74.49224150415114,40.790045168340605"), "wayback")</f>
        <v>wayback</v>
      </c>
      <c r="J140" s="9" t="s">
        <v>17</v>
      </c>
      <c r="L140" s="9" t="s">
        <v>24</v>
      </c>
    </row>
    <row r="141" spans="1:13">
      <c r="A141" s="1" t="s">
        <v>45</v>
      </c>
      <c r="B141" s="1">
        <v>140</v>
      </c>
      <c r="C141" s="1">
        <v>2011</v>
      </c>
      <c r="D141" s="1">
        <v>2012</v>
      </c>
      <c r="E141" s="1">
        <v>33.719231462925492</v>
      </c>
      <c r="F141" s="1">
        <v>-114.94866068516841</v>
      </c>
      <c r="G141" s="4" t="str">
        <f>HYPERLINK(CONCATENATE("https://ee-faluhong.projects.earthengine.app/view/isp-ts-evaluation#id=140 2011-&gt;2012;lat=33.71923146292549;lon=-114.9486606851684;year=2011;bf=7;level=18;"), "landsat_time_series")</f>
        <v>landsat_time_series</v>
      </c>
      <c r="H141" s="4" t="str">
        <f>HYPERLINK(CONCATENATE("https://jstnbraaten.users.earthengine.app/view/landsat-timeseries-explorer#run=true;lon=-114.9486606851684;lat=33.71923146292549;from=01-01;to=12-31;index=NDVI;rgb=NIR%2FRED%2FGREEN;chipwidth=1;"), "landsat_chips")</f>
        <v>landsat_chips</v>
      </c>
      <c r="I141" s="4" t="str">
        <f>HYPERLINK(CONCATENATE("https://livingatlas.arcgis.com/wayback/#ext=-114.94966068516841,33.72023146292549,-114.9476606851684,33.718231462925495"), "wayback")</f>
        <v>wayback</v>
      </c>
      <c r="J141" s="9" t="s">
        <v>19</v>
      </c>
      <c r="L141" s="9" t="s">
        <v>15</v>
      </c>
      <c r="M141" s="9" t="s">
        <v>46</v>
      </c>
    </row>
    <row r="142" spans="1:13">
      <c r="A142" s="1" t="s">
        <v>45</v>
      </c>
      <c r="B142" s="1">
        <v>141</v>
      </c>
      <c r="C142" s="1">
        <v>2005</v>
      </c>
      <c r="D142" s="1">
        <v>2006</v>
      </c>
      <c r="E142" s="1">
        <v>35.73135541933582</v>
      </c>
      <c r="F142" s="1">
        <v>-120.1069096964745</v>
      </c>
      <c r="G142" s="4" t="str">
        <f>HYPERLINK(CONCATENATE("https://ee-faluhong.projects.earthengine.app/view/isp-ts-evaluation#id=141 2005-&gt;2006;lat=35.73135541933582;lon=-120.1069096964745;year=2005;bf=7;level=18;"), "landsat_time_series")</f>
        <v>landsat_time_series</v>
      </c>
      <c r="H142" s="4" t="str">
        <f>HYPERLINK(CONCATENATE("https://jstnbraaten.users.earthengine.app/view/landsat-timeseries-explorer#run=true;lon=-120.1069096964745;lat=35.73135541933582;from=01-01;to=12-31;index=NDVI;rgb=NIR%2FRED%2FGREEN;chipwidth=1;"), "landsat_chips")</f>
        <v>landsat_chips</v>
      </c>
      <c r="I142" s="4" t="str">
        <f>HYPERLINK(CONCATENATE("https://livingatlas.arcgis.com/wayback/#ext=-120.10790969647451,35.73235541933582,-120.1059096964745,35.73035541933582"), "wayback")</f>
        <v>wayback</v>
      </c>
      <c r="J142" s="9" t="s">
        <v>19</v>
      </c>
      <c r="L142" s="9" t="s">
        <v>15</v>
      </c>
      <c r="M142" s="9" t="s">
        <v>46</v>
      </c>
    </row>
    <row r="143" spans="1:13">
      <c r="A143" s="1" t="s">
        <v>45</v>
      </c>
      <c r="B143" s="1">
        <v>142</v>
      </c>
      <c r="C143" s="1">
        <v>2004</v>
      </c>
      <c r="D143" s="1">
        <v>2005</v>
      </c>
      <c r="E143" s="1">
        <v>30.04129653205754</v>
      </c>
      <c r="F143" s="1">
        <v>-83.666389942798702</v>
      </c>
      <c r="G143" s="4" t="str">
        <f>HYPERLINK(CONCATENATE("https://ee-faluhong.projects.earthengine.app/view/isp-ts-evaluation#id=142 2004-&gt;2005;lat=30.04129653205754;lon=-83.6663899427987;year=2004;bf=7;level=18;"), "landsat_time_series")</f>
        <v>landsat_time_series</v>
      </c>
      <c r="H143" s="4" t="str">
        <f>HYPERLINK(CONCATENATE("https://jstnbraaten.users.earthengine.app/view/landsat-timeseries-explorer#run=true;lon=-83.6663899427987;lat=30.04129653205754;from=01-01;to=12-31;index=NDVI;rgb=NIR%2FRED%2FGREEN;chipwidth=1;"), "landsat_chips")</f>
        <v>landsat_chips</v>
      </c>
      <c r="I143" s="4" t="str">
        <f>HYPERLINK(CONCATENATE("https://livingatlas.arcgis.com/wayback/#ext=-83.6673899427987,30.04229653205754,-83.6653899427987,30.04029653205754"), "wayback")</f>
        <v>wayback</v>
      </c>
      <c r="J143" s="9" t="s">
        <v>25</v>
      </c>
      <c r="L143" s="9" t="s">
        <v>24</v>
      </c>
      <c r="M143" s="9" t="s">
        <v>52</v>
      </c>
    </row>
    <row r="144" spans="1:13">
      <c r="A144" s="1" t="s">
        <v>45</v>
      </c>
      <c r="B144" s="1">
        <v>143</v>
      </c>
      <c r="C144" s="1">
        <v>2000</v>
      </c>
      <c r="D144" s="1">
        <v>2001</v>
      </c>
      <c r="E144" s="1">
        <v>33.796081835220008</v>
      </c>
      <c r="F144" s="1">
        <v>-117.0103393674419</v>
      </c>
      <c r="G144" s="4" t="str">
        <f>HYPERLINK(CONCATENATE("https://ee-faluhong.projects.earthengine.app/view/isp-ts-evaluation#id=143 2000-&gt;2001;lat=33.79608183522001;lon=-117.0103393674419;year=2000;bf=7;level=18;"), "landsat_time_series")</f>
        <v>landsat_time_series</v>
      </c>
      <c r="H144" s="4" t="str">
        <f>HYPERLINK(CONCATENATE("https://jstnbraaten.users.earthengine.app/view/landsat-timeseries-explorer#run=true;lon=-117.0103393674419;lat=33.79608183522001;from=01-01;to=12-31;index=NDVI;rgb=NIR%2FRED%2FGREEN;chipwidth=1;"), "landsat_chips")</f>
        <v>landsat_chips</v>
      </c>
      <c r="I144" s="4" t="str">
        <f>HYPERLINK(CONCATENATE("https://livingatlas.arcgis.com/wayback/#ext=-117.0113393674419,33.797081835220006,-117.0093393674419,33.79508183522001"), "wayback")</f>
        <v>wayback</v>
      </c>
      <c r="J144" s="9" t="s">
        <v>17</v>
      </c>
      <c r="L144" s="9" t="s">
        <v>31</v>
      </c>
    </row>
    <row r="145" spans="1:13">
      <c r="A145" s="1" t="s">
        <v>45</v>
      </c>
      <c r="B145" s="1">
        <v>144</v>
      </c>
      <c r="C145" s="1">
        <v>2012</v>
      </c>
      <c r="D145" s="1">
        <v>2013</v>
      </c>
      <c r="E145" s="1">
        <v>30.807002061595838</v>
      </c>
      <c r="F145" s="1">
        <v>-97.610415163322344</v>
      </c>
      <c r="G145" s="4" t="str">
        <f>HYPERLINK(CONCATENATE("https://ee-faluhong.projects.earthengine.app/view/isp-ts-evaluation#id=144 2012-&gt;2013;lat=30.80700206159584;lon=-97.61041516332234;year=2012;bf=7;level=18;"), "landsat_time_series")</f>
        <v>landsat_time_series</v>
      </c>
      <c r="H145" s="4" t="str">
        <f>HYPERLINK(CONCATENATE("https://jstnbraaten.users.earthengine.app/view/landsat-timeseries-explorer#run=true;lon=-97.61041516332234;lat=30.80700206159584;from=01-01;to=12-31;index=NDVI;rgb=NIR%2FRED%2FGREEN;chipwidth=1;"), "landsat_chips")</f>
        <v>landsat_chips</v>
      </c>
      <c r="I145" s="4" t="str">
        <f>HYPERLINK(CONCATENATE("https://livingatlas.arcgis.com/wayback/#ext=-97.61141516332235,30.80800206159584,-97.60941516332234,30.806002061595837"), "wayback")</f>
        <v>wayback</v>
      </c>
      <c r="J145" s="9" t="s">
        <v>25</v>
      </c>
      <c r="K145" s="9" t="s">
        <v>40</v>
      </c>
      <c r="L145" s="9" t="s">
        <v>24</v>
      </c>
      <c r="M145" s="9" t="s">
        <v>59</v>
      </c>
    </row>
    <row r="146" spans="1:13">
      <c r="A146" s="1" t="s">
        <v>45</v>
      </c>
      <c r="B146" s="1">
        <v>145</v>
      </c>
      <c r="C146" s="1">
        <v>2010</v>
      </c>
      <c r="D146" s="1">
        <v>2011</v>
      </c>
      <c r="E146" s="1">
        <v>30.383027768092209</v>
      </c>
      <c r="F146" s="1">
        <v>-92.131638153039432</v>
      </c>
      <c r="G146" s="4" t="str">
        <f>HYPERLINK(CONCATENATE("https://ee-faluhong.projects.earthengine.app/view/isp-ts-evaluation#id=145 2010-&gt;2011;lat=30.38302776809221;lon=-92.13163815303943;year=2010;bf=7;level=18;"), "landsat_time_series")</f>
        <v>landsat_time_series</v>
      </c>
      <c r="H146" s="4" t="str">
        <f>HYPERLINK(CONCATENATE("https://jstnbraaten.users.earthengine.app/view/landsat-timeseries-explorer#run=true;lon=-92.13163815303943;lat=30.38302776809221;from=01-01;to=12-31;index=NDVI;rgb=NIR%2FRED%2FGREEN;chipwidth=1;"), "landsat_chips")</f>
        <v>landsat_chips</v>
      </c>
      <c r="I146" s="4" t="str">
        <f>HYPERLINK(CONCATENATE("https://livingatlas.arcgis.com/wayback/#ext=-92.13263815303944,30.38402776809221,-92.13063815303943,30.382027768092208"), "wayback")</f>
        <v>wayback</v>
      </c>
      <c r="J146" s="9" t="s">
        <v>19</v>
      </c>
      <c r="L146" s="9" t="s">
        <v>15</v>
      </c>
    </row>
    <row r="147" spans="1:13">
      <c r="A147" s="1" t="s">
        <v>45</v>
      </c>
      <c r="B147" s="1">
        <v>146</v>
      </c>
      <c r="C147" s="1">
        <v>2013</v>
      </c>
      <c r="D147" s="1">
        <v>2014</v>
      </c>
      <c r="E147" s="1">
        <v>42.5550671127315</v>
      </c>
      <c r="F147" s="1">
        <v>-118.8160309022081</v>
      </c>
      <c r="G147" s="4" t="str">
        <f>HYPERLINK(CONCATENATE("https://ee-faluhong.projects.earthengine.app/view/isp-ts-evaluation#id=146 2013-&gt;2014;lat=42.5550671127315;lon=-118.8160309022081;year=2013;bf=7;level=18;"), "landsat_time_series")</f>
        <v>landsat_time_series</v>
      </c>
      <c r="H147" s="4" t="str">
        <f>HYPERLINK(CONCATENATE("https://jstnbraaten.users.earthengine.app/view/landsat-timeseries-explorer#run=true;lon=-118.8160309022081;lat=42.5550671127315;from=01-01;to=12-31;index=NDVI;rgb=NIR%2FRED%2FGREEN;chipwidth=1;"), "landsat_chips")</f>
        <v>landsat_chips</v>
      </c>
      <c r="I147" s="4" t="str">
        <f>HYPERLINK(CONCATENATE("https://livingatlas.arcgis.com/wayback/#ext=-118.8170309022081,42.5560671127315,-118.8150309022081,42.5540671127315"), "wayback")</f>
        <v>wayback</v>
      </c>
      <c r="J147" s="9" t="s">
        <v>19</v>
      </c>
      <c r="L147" s="9" t="s">
        <v>15</v>
      </c>
    </row>
    <row r="148" spans="1:13">
      <c r="A148" s="1" t="s">
        <v>45</v>
      </c>
      <c r="B148" s="1">
        <v>147</v>
      </c>
      <c r="C148" s="1">
        <v>2013</v>
      </c>
      <c r="D148" s="1">
        <v>2014</v>
      </c>
      <c r="E148" s="1">
        <v>31.12299108230054</v>
      </c>
      <c r="F148" s="1">
        <v>-97.768486197929704</v>
      </c>
      <c r="G148" s="4" t="str">
        <f>HYPERLINK(CONCATENATE("https://ee-faluhong.projects.earthengine.app/view/isp-ts-evaluation#id=147 2013-&gt;2014;lat=31.12299108230054;lon=-97.7684861979297;year=2013;bf=7;level=18;"), "landsat_time_series")</f>
        <v>landsat_time_series</v>
      </c>
      <c r="H148" s="4" t="str">
        <f>HYPERLINK(CONCATENATE("https://jstnbraaten.users.earthengine.app/view/landsat-timeseries-explorer#run=true;lon=-97.7684861979297;lat=31.12299108230054;from=01-01;to=12-31;index=NDVI;rgb=NIR%2FRED%2FGREEN;chipwidth=1;"), "landsat_chips")</f>
        <v>landsat_chips</v>
      </c>
      <c r="I148" s="4" t="str">
        <f>HYPERLINK(CONCATENATE("https://livingatlas.arcgis.com/wayback/#ext=-97.76948619792971,31.12399108230054,-97.7674861979297,31.12199108230054"), "wayback")</f>
        <v>wayback</v>
      </c>
      <c r="J148" s="9" t="s">
        <v>27</v>
      </c>
      <c r="L148" s="10"/>
    </row>
    <row r="149" spans="1:13">
      <c r="A149" s="1" t="s">
        <v>45</v>
      </c>
      <c r="B149" s="1">
        <v>148</v>
      </c>
      <c r="C149" s="1">
        <v>2007</v>
      </c>
      <c r="D149" s="1">
        <v>2008</v>
      </c>
      <c r="E149" s="1">
        <v>33.46692913256868</v>
      </c>
      <c r="F149" s="1">
        <v>-88.812949014912604</v>
      </c>
      <c r="G149" s="4" t="str">
        <f>HYPERLINK(CONCATENATE("https://ee-faluhong.projects.earthengine.app/view/isp-ts-evaluation#id=148 2007-&gt;2008;lat=33.46692913256868;lon=-88.8129490149126;year=2007;bf=7;level=18;"), "landsat_time_series")</f>
        <v>landsat_time_series</v>
      </c>
      <c r="H149" s="4" t="str">
        <f>HYPERLINK(CONCATENATE("https://jstnbraaten.users.earthengine.app/view/landsat-timeseries-explorer#run=true;lon=-88.8129490149126;lat=33.46692913256868;from=01-01;to=12-31;index=NDVI;rgb=NIR%2FRED%2FGREEN;chipwidth=1;"), "landsat_chips")</f>
        <v>landsat_chips</v>
      </c>
      <c r="I149" s="4" t="str">
        <f>HYPERLINK(CONCATENATE("https://livingatlas.arcgis.com/wayback/#ext=-88.81394901491261,33.46792913256868,-88.8119490149126,33.46592913256868"), "wayback")</f>
        <v>wayback</v>
      </c>
      <c r="J149" s="9" t="s">
        <v>21</v>
      </c>
      <c r="L149" s="9" t="s">
        <v>31</v>
      </c>
    </row>
    <row r="150" spans="1:13">
      <c r="A150" s="1" t="s">
        <v>45</v>
      </c>
      <c r="B150" s="1">
        <v>149</v>
      </c>
      <c r="C150" s="1">
        <v>2016</v>
      </c>
      <c r="D150" s="1">
        <v>2017</v>
      </c>
      <c r="E150" s="1">
        <v>43.979559358534608</v>
      </c>
      <c r="F150" s="1">
        <v>-90.067030345320987</v>
      </c>
      <c r="G150" s="4" t="str">
        <f>HYPERLINK(CONCATENATE("https://ee-faluhong.projects.earthengine.app/view/isp-ts-evaluation#id=149 2016-&gt;2017;lat=43.97955935853461;lon=-90.06703034532099;year=2016;bf=7;level=18;"), "landsat_time_series")</f>
        <v>landsat_time_series</v>
      </c>
      <c r="H150" s="4" t="str">
        <f>HYPERLINK(CONCATENATE("https://jstnbraaten.users.earthengine.app/view/landsat-timeseries-explorer#run=true;lon=-90.06703034532099;lat=43.97955935853461;from=01-01;to=12-31;index=NDVI;rgb=NIR%2FRED%2FGREEN;chipwidth=1;"), "landsat_chips")</f>
        <v>landsat_chips</v>
      </c>
      <c r="I150" s="4" t="str">
        <f>HYPERLINK(CONCATENATE("https://livingatlas.arcgis.com/wayback/#ext=-90.06803034532099,43.980559358534606,-90.06603034532098,43.97855935853461"), "wayback")</f>
        <v>wayback</v>
      </c>
      <c r="J150" s="9" t="s">
        <v>19</v>
      </c>
      <c r="L150" s="9" t="s">
        <v>15</v>
      </c>
    </row>
    <row r="151" spans="1:13">
      <c r="A151" s="1" t="s">
        <v>45</v>
      </c>
      <c r="B151" s="1">
        <v>150</v>
      </c>
      <c r="C151" s="1">
        <v>2005</v>
      </c>
      <c r="D151" s="1">
        <v>2006</v>
      </c>
      <c r="E151" s="1">
        <v>40.755178376561233</v>
      </c>
      <c r="F151" s="1">
        <v>-75.294353377017728</v>
      </c>
      <c r="G151" s="4" t="str">
        <f>HYPERLINK(CONCATENATE("https://ee-faluhong.projects.earthengine.app/view/isp-ts-evaluation#id=150 2005-&gt;2006;lat=40.75517837656123;lon=-75.29435337701773;year=2005;bf=7;level=18;"), "landsat_time_series")</f>
        <v>landsat_time_series</v>
      </c>
      <c r="H151" s="4" t="str">
        <f>HYPERLINK(CONCATENATE("https://jstnbraaten.users.earthengine.app/view/landsat-timeseries-explorer#run=true;lon=-75.29435337701773;lat=40.75517837656123;from=01-01;to=12-31;index=NDVI;rgb=NIR%2FRED%2FGREEN;chipwidth=1;"), "landsat_chips")</f>
        <v>landsat_chips</v>
      </c>
      <c r="I151" s="4" t="str">
        <f>HYPERLINK(CONCATENATE("https://livingatlas.arcgis.com/wayback/#ext=-75.29535337701773,40.75617837656123,-75.29335337701772,40.754178376561235"), "wayback")</f>
        <v>wayback</v>
      </c>
      <c r="J151" s="9" t="s">
        <v>44</v>
      </c>
      <c r="L151" s="9" t="s">
        <v>24</v>
      </c>
    </row>
    <row r="152" spans="1:13">
      <c r="A152" s="1" t="s">
        <v>45</v>
      </c>
      <c r="B152" s="1">
        <v>151</v>
      </c>
      <c r="C152" s="1">
        <v>2007</v>
      </c>
      <c r="D152" s="1">
        <v>2008</v>
      </c>
      <c r="E152" s="1">
        <v>33.954783822478532</v>
      </c>
      <c r="F152" s="1">
        <v>-90.0721500768894</v>
      </c>
      <c r="G152" s="4" t="str">
        <f>HYPERLINK(CONCATENATE("https://ee-faluhong.projects.earthengine.app/view/isp-ts-evaluation#id=151 2007-&gt;2008;lat=33.95478382247853;lon=-90.0721500768894;year=2007;bf=7;level=18;"), "landsat_time_series")</f>
        <v>landsat_time_series</v>
      </c>
      <c r="H152" s="4" t="str">
        <f>HYPERLINK(CONCATENATE("https://jstnbraaten.users.earthengine.app/view/landsat-timeseries-explorer#run=true;lon=-90.0721500768894;lat=33.95478382247853;from=01-01;to=12-31;index=NDVI;rgb=NIR%2FRED%2FGREEN;chipwidth=1;"), "landsat_chips")</f>
        <v>landsat_chips</v>
      </c>
      <c r="I152" s="4" t="str">
        <f>HYPERLINK(CONCATENATE("https://livingatlas.arcgis.com/wayback/#ext=-90.0731500768894,33.95578382247853,-90.0711500768894,33.953783822478535"), "wayback")</f>
        <v>wayback</v>
      </c>
      <c r="J152" s="9" t="s">
        <v>19</v>
      </c>
      <c r="L152" s="9" t="s">
        <v>24</v>
      </c>
    </row>
    <row r="153" spans="1:13">
      <c r="A153" s="1" t="s">
        <v>45</v>
      </c>
      <c r="B153" s="1">
        <v>152</v>
      </c>
      <c r="C153" s="1">
        <v>2006</v>
      </c>
      <c r="D153" s="1">
        <v>2007</v>
      </c>
      <c r="E153" s="1">
        <v>29.525621190532139</v>
      </c>
      <c r="F153" s="1">
        <v>-98.555075663344553</v>
      </c>
      <c r="G153" s="4" t="str">
        <f>HYPERLINK(CONCATENATE("https://ee-faluhong.projects.earthengine.app/view/isp-ts-evaluation#id=152 2006-&gt;2007;lat=29.52562119053214;lon=-98.55507566334455;year=2006;bf=7;level=18;"), "landsat_time_series")</f>
        <v>landsat_time_series</v>
      </c>
      <c r="H153" s="4" t="str">
        <f>HYPERLINK(CONCATENATE("https://jstnbraaten.users.earthengine.app/view/landsat-timeseries-explorer#run=true;lon=-98.55507566334455;lat=29.52562119053214;from=01-01;to=12-31;index=NDVI;rgb=NIR%2FRED%2FGREEN;chipwidth=1;"), "landsat_chips")</f>
        <v>landsat_chips</v>
      </c>
      <c r="I153" s="4" t="str">
        <f>HYPERLINK(CONCATENATE("https://livingatlas.arcgis.com/wayback/#ext=-98.55607566334456,29.52662119053214,-98.55407566334455,29.524621190532137"), "wayback")</f>
        <v>wayback</v>
      </c>
      <c r="J153" s="9" t="s">
        <v>21</v>
      </c>
      <c r="L153" s="9" t="s">
        <v>24</v>
      </c>
    </row>
    <row r="154" spans="1:13">
      <c r="A154" s="1" t="s">
        <v>45</v>
      </c>
      <c r="B154" s="1">
        <v>153</v>
      </c>
      <c r="C154" s="1">
        <v>2008</v>
      </c>
      <c r="D154" s="1">
        <v>2009</v>
      </c>
      <c r="E154" s="1">
        <v>33.940471438227853</v>
      </c>
      <c r="F154" s="1">
        <v>-97.209332273169736</v>
      </c>
      <c r="G154" s="4" t="str">
        <f>HYPERLINK(CONCATENATE("https://ee-faluhong.projects.earthengine.app/view/isp-ts-evaluation#id=153 2008-&gt;2009;lat=33.94047143822785;lon=-97.20933227316974;year=2008;bf=7;level=18;"), "landsat_time_series")</f>
        <v>landsat_time_series</v>
      </c>
      <c r="H154" s="4" t="str">
        <f>HYPERLINK(CONCATENATE("https://jstnbraaten.users.earthengine.app/view/landsat-timeseries-explorer#run=true;lon=-97.20933227316974;lat=33.94047143822785;from=01-01;to=12-31;index=NDVI;rgb=NIR%2FRED%2FGREEN;chipwidth=1;"), "landsat_chips")</f>
        <v>landsat_chips</v>
      </c>
      <c r="I154" s="4" t="str">
        <f>HYPERLINK(CONCATENATE("https://livingatlas.arcgis.com/wayback/#ext=-97.21033227316974,33.94147143822785,-97.20833227316973,33.939471438227855"), "wayback")</f>
        <v>wayback</v>
      </c>
      <c r="J154" s="9" t="s">
        <v>21</v>
      </c>
      <c r="L154" s="9" t="s">
        <v>15</v>
      </c>
    </row>
    <row r="155" spans="1:13">
      <c r="A155" s="1" t="s">
        <v>45</v>
      </c>
      <c r="B155" s="1">
        <v>154</v>
      </c>
      <c r="C155" s="1">
        <v>2009</v>
      </c>
      <c r="D155" s="1">
        <v>2010</v>
      </c>
      <c r="E155" s="1">
        <v>38.798128065001521</v>
      </c>
      <c r="F155" s="1">
        <v>-121.3382060402367</v>
      </c>
      <c r="G155" s="4" t="str">
        <f>HYPERLINK(CONCATENATE("https://ee-faluhong.projects.earthengine.app/view/isp-ts-evaluation#id=154 2009-&gt;2010;lat=38.79812806500152;lon=-121.3382060402367;year=2009;bf=7;level=18;"), "landsat_time_series")</f>
        <v>landsat_time_series</v>
      </c>
      <c r="H155" s="4" t="str">
        <f>HYPERLINK(CONCATENATE("https://jstnbraaten.users.earthengine.app/view/landsat-timeseries-explorer#run=true;lon=-121.3382060402367;lat=38.79812806500152;from=01-01;to=12-31;index=NDVI;rgb=NIR%2FRED%2FGREEN;chipwidth=1;"), "landsat_chips")</f>
        <v>landsat_chips</v>
      </c>
      <c r="I155" s="4" t="str">
        <f>HYPERLINK(CONCATENATE("https://livingatlas.arcgis.com/wayback/#ext=-121.3392060402367,38.79912806500152,-121.3372060402367,38.79712806500152"), "wayback")</f>
        <v>wayback</v>
      </c>
      <c r="J155" s="9" t="s">
        <v>25</v>
      </c>
      <c r="K155" s="9" t="s">
        <v>26</v>
      </c>
      <c r="L155" s="9" t="s">
        <v>24</v>
      </c>
    </row>
    <row r="156" spans="1:13">
      <c r="A156" s="1" t="s">
        <v>45</v>
      </c>
      <c r="B156" s="1">
        <v>155</v>
      </c>
      <c r="C156" s="1">
        <v>2004</v>
      </c>
      <c r="D156" s="1">
        <v>2005</v>
      </c>
      <c r="E156" s="1">
        <v>26.67662093231144</v>
      </c>
      <c r="F156" s="1">
        <v>-81.78520635942229</v>
      </c>
      <c r="G156" s="4" t="str">
        <f>HYPERLINK(CONCATENATE("https://ee-faluhong.projects.earthengine.app/view/isp-ts-evaluation#id=155 2004-&gt;2005;lat=26.67662093231144;lon=-81.78520635942229;year=2004;bf=7;level=18;"), "landsat_time_series")</f>
        <v>landsat_time_series</v>
      </c>
      <c r="H156" s="4" t="str">
        <f>HYPERLINK(CONCATENATE("https://jstnbraaten.users.earthengine.app/view/landsat-timeseries-explorer#run=true;lon=-81.78520635942229;lat=26.67662093231144;from=01-01;to=12-31;index=NDVI;rgb=NIR%2FRED%2FGREEN;chipwidth=1;"), "landsat_chips")</f>
        <v>landsat_chips</v>
      </c>
      <c r="I156" s="4" t="str">
        <f>HYPERLINK(CONCATENATE("https://livingatlas.arcgis.com/wayback/#ext=-81.7862063594223,26.67762093231144,-81.78420635942229,26.67562093231144"), "wayback")</f>
        <v>wayback</v>
      </c>
      <c r="J156" s="9" t="s">
        <v>19</v>
      </c>
      <c r="L156" s="9" t="s">
        <v>15</v>
      </c>
    </row>
    <row r="157" spans="1:13">
      <c r="A157" s="1" t="s">
        <v>45</v>
      </c>
      <c r="B157" s="1">
        <v>156</v>
      </c>
      <c r="C157" s="1">
        <v>2017</v>
      </c>
      <c r="D157" s="1">
        <v>2018</v>
      </c>
      <c r="E157" s="1">
        <v>34.943531660122332</v>
      </c>
      <c r="F157" s="1">
        <v>-95.340935373386472</v>
      </c>
      <c r="G157" s="4" t="str">
        <f>HYPERLINK(CONCATENATE("https://ee-faluhong.projects.earthengine.app/view/isp-ts-evaluation#id=156 2017-&gt;2018;lat=34.94353166012233;lon=-95.34093537338647;year=2017;bf=7;level=18;"), "landsat_time_series")</f>
        <v>landsat_time_series</v>
      </c>
      <c r="H157" s="4" t="str">
        <f>HYPERLINK(CONCATENATE("https://jstnbraaten.users.earthengine.app/view/landsat-timeseries-explorer#run=true;lon=-95.34093537338647;lat=34.94353166012233;from=01-01;to=12-31;index=NDVI;rgb=NIR%2FRED%2FGREEN;chipwidth=1;"), "landsat_chips")</f>
        <v>landsat_chips</v>
      </c>
      <c r="I157" s="4" t="str">
        <f>HYPERLINK(CONCATENATE("https://livingatlas.arcgis.com/wayback/#ext=-95.34193537338648,34.94453166012233,-95.33993537338647,34.942531660122334"), "wayback")</f>
        <v>wayback</v>
      </c>
      <c r="J157" s="9" t="s">
        <v>19</v>
      </c>
      <c r="L157" s="9" t="s">
        <v>24</v>
      </c>
    </row>
    <row r="158" spans="1:13">
      <c r="A158" s="1" t="s">
        <v>45</v>
      </c>
      <c r="B158" s="1">
        <v>157</v>
      </c>
      <c r="C158" s="1">
        <v>2010</v>
      </c>
      <c r="D158" s="1">
        <v>2011</v>
      </c>
      <c r="E158" s="1">
        <v>35.745734829187711</v>
      </c>
      <c r="F158" s="1">
        <v>-80.496730023830096</v>
      </c>
      <c r="G158" s="4" t="str">
        <f>HYPERLINK(CONCATENATE("https://ee-faluhong.projects.earthengine.app/view/isp-ts-evaluation#id=157 2010-&gt;2011;lat=35.74573482918771;lon=-80.4967300238301;year=2010;bf=7;level=18;"), "landsat_time_series")</f>
        <v>landsat_time_series</v>
      </c>
      <c r="H158" s="4" t="str">
        <f>HYPERLINK(CONCATENATE("https://jstnbraaten.users.earthengine.app/view/landsat-timeseries-explorer#run=true;lon=-80.4967300238301;lat=35.74573482918771;from=01-01;to=12-31;index=NDVI;rgb=NIR%2FRED%2FGREEN;chipwidth=1;"), "landsat_chips")</f>
        <v>landsat_chips</v>
      </c>
      <c r="I158" s="4" t="str">
        <f>HYPERLINK(CONCATENATE("https://livingatlas.arcgis.com/wayback/#ext=-80.4977300238301,35.74673482918771,-80.49573002383009,35.74473482918771"), "wayback")</f>
        <v>wayback</v>
      </c>
      <c r="J158" s="9" t="s">
        <v>25</v>
      </c>
      <c r="K158" s="9" t="s">
        <v>26</v>
      </c>
      <c r="L158" s="9" t="s">
        <v>15</v>
      </c>
    </row>
    <row r="159" spans="1:13">
      <c r="A159" s="1" t="s">
        <v>45</v>
      </c>
      <c r="B159" s="1">
        <v>158</v>
      </c>
      <c r="C159" s="1">
        <v>2018</v>
      </c>
      <c r="D159" s="1">
        <v>2019</v>
      </c>
      <c r="E159" s="1">
        <v>30.680217688301362</v>
      </c>
      <c r="F159" s="1">
        <v>-84.824835782020486</v>
      </c>
      <c r="G159" s="4" t="str">
        <f>HYPERLINK(CONCATENATE("https://ee-faluhong.projects.earthengine.app/view/isp-ts-evaluation#id=158 2018-&gt;2019;lat=30.68021768830136;lon=-84.82483578202049;year=2018;bf=7;level=18;"), "landsat_time_series")</f>
        <v>landsat_time_series</v>
      </c>
      <c r="H159" s="4" t="str">
        <f>HYPERLINK(CONCATENATE("https://jstnbraaten.users.earthengine.app/view/landsat-timeseries-explorer#run=true;lon=-84.82483578202049;lat=30.68021768830136;from=01-01;to=12-31;index=NDVI;rgb=NIR%2FRED%2FGREEN;chipwidth=1;"), "landsat_chips")</f>
        <v>landsat_chips</v>
      </c>
      <c r="I159" s="4" t="str">
        <f>HYPERLINK(CONCATENATE("https://livingatlas.arcgis.com/wayback/#ext=-84.82583578202049,30.681217688301363,-84.82383578202048,30.67921768830136"), "wayback")</f>
        <v>wayback</v>
      </c>
      <c r="J159" s="9" t="s">
        <v>17</v>
      </c>
      <c r="L159" s="9" t="s">
        <v>24</v>
      </c>
      <c r="M159" s="9" t="s">
        <v>60</v>
      </c>
    </row>
    <row r="160" spans="1:13">
      <c r="A160" s="1" t="s">
        <v>45</v>
      </c>
      <c r="B160" s="1">
        <v>159</v>
      </c>
      <c r="C160" s="1">
        <v>2007</v>
      </c>
      <c r="D160" s="1">
        <v>2008</v>
      </c>
      <c r="E160" s="1">
        <v>30.547168842817481</v>
      </c>
      <c r="F160" s="1">
        <v>-91.058322656147027</v>
      </c>
      <c r="G160" s="4" t="str">
        <f>HYPERLINK(CONCATENATE("https://ee-faluhong.projects.earthengine.app/view/isp-ts-evaluation#id=159 2007-&gt;2008;lat=30.54716884281748;lon=-91.05832265614703;year=2007;bf=7;level=18;"), "landsat_time_series")</f>
        <v>landsat_time_series</v>
      </c>
      <c r="H160" s="4" t="str">
        <f>HYPERLINK(CONCATENATE("https://jstnbraaten.users.earthengine.app/view/landsat-timeseries-explorer#run=true;lon=-91.05832265614703;lat=30.54716884281748;from=01-01;to=12-31;index=NDVI;rgb=NIR%2FRED%2FGREEN;chipwidth=1;"), "landsat_chips")</f>
        <v>landsat_chips</v>
      </c>
      <c r="I160" s="4" t="str">
        <f>HYPERLINK(CONCATENATE("https://livingatlas.arcgis.com/wayback/#ext=-91.05932265614703,30.548168842817482,-91.05732265614702,30.54616884281748"), "wayback")</f>
        <v>wayback</v>
      </c>
      <c r="J160" s="9" t="s">
        <v>14</v>
      </c>
      <c r="L160" s="9" t="s">
        <v>15</v>
      </c>
      <c r="M160" s="9" t="s">
        <v>61</v>
      </c>
    </row>
    <row r="161" spans="1:13">
      <c r="A161" s="1" t="s">
        <v>45</v>
      </c>
      <c r="B161" s="1">
        <v>160</v>
      </c>
      <c r="C161" s="1">
        <v>2015</v>
      </c>
      <c r="D161" s="1">
        <v>2016</v>
      </c>
      <c r="E161" s="1">
        <v>26.69181479507052</v>
      </c>
      <c r="F161" s="1">
        <v>-80.354430312441593</v>
      </c>
      <c r="G161" s="4" t="str">
        <f>HYPERLINK(CONCATENATE("https://ee-faluhong.projects.earthengine.app/view/isp-ts-evaluation#id=160 2015-&gt;2016;lat=26.69181479507052;lon=-80.3544303124416;year=2015;bf=7;level=18;"), "landsat_time_series")</f>
        <v>landsat_time_series</v>
      </c>
      <c r="H161" s="4" t="str">
        <f>HYPERLINK(CONCATENATE("https://jstnbraaten.users.earthengine.app/view/landsat-timeseries-explorer#run=true;lon=-80.3544303124416;lat=26.69181479507052;from=01-01;to=12-31;index=NDVI;rgb=NIR%2FRED%2FGREEN;chipwidth=1;"), "landsat_chips")</f>
        <v>landsat_chips</v>
      </c>
      <c r="I161" s="4" t="str">
        <f>HYPERLINK(CONCATENATE("https://livingatlas.arcgis.com/wayback/#ext=-80.3554303124416,26.69281479507052,-80.35343031244159,26.69081479507052"), "wayback")</f>
        <v>wayback</v>
      </c>
      <c r="J161" s="9" t="s">
        <v>14</v>
      </c>
      <c r="L161" s="9" t="s">
        <v>15</v>
      </c>
    </row>
    <row r="162" spans="1:13">
      <c r="A162" s="1" t="s">
        <v>45</v>
      </c>
      <c r="B162" s="1">
        <v>161</v>
      </c>
      <c r="C162" s="1">
        <v>2002</v>
      </c>
      <c r="D162" s="1">
        <v>2003</v>
      </c>
      <c r="E162" s="1">
        <v>46.534689141241913</v>
      </c>
      <c r="F162" s="1">
        <v>-104.75471306257511</v>
      </c>
      <c r="G162" s="4" t="str">
        <f>HYPERLINK(CONCATENATE("https://ee-faluhong.projects.earthengine.app/view/isp-ts-evaluation#id=161 2002-&gt;2003;lat=46.53468914124191;lon=-104.7547130625751;year=2002;bf=7;level=18;"), "landsat_time_series")</f>
        <v>landsat_time_series</v>
      </c>
      <c r="H162" s="4" t="str">
        <f>HYPERLINK(CONCATENATE("https://jstnbraaten.users.earthengine.app/view/landsat-timeseries-explorer#run=true;lon=-104.7547130625751;lat=46.53468914124191;from=01-01;to=12-31;index=NDVI;rgb=NIR%2FRED%2FGREEN;chipwidth=1;"), "landsat_chips")</f>
        <v>landsat_chips</v>
      </c>
      <c r="I162" s="4" t="str">
        <f>HYPERLINK(CONCATENATE("https://livingatlas.arcgis.com/wayback/#ext=-104.75571306257511,46.53568914124191,-104.7537130625751,46.533689141241915"), "wayback")</f>
        <v>wayback</v>
      </c>
      <c r="J162" s="9" t="s">
        <v>19</v>
      </c>
      <c r="L162" s="9" t="s">
        <v>15</v>
      </c>
    </row>
    <row r="163" spans="1:13">
      <c r="A163" s="1" t="s">
        <v>45</v>
      </c>
      <c r="B163" s="1">
        <v>162</v>
      </c>
      <c r="C163" s="1">
        <v>2002</v>
      </c>
      <c r="D163" s="1">
        <v>2003</v>
      </c>
      <c r="E163" s="1">
        <v>39.100017850602093</v>
      </c>
      <c r="F163" s="1">
        <v>-84.854174946709719</v>
      </c>
      <c r="G163" s="4" t="str">
        <f>HYPERLINK(CONCATENATE("https://ee-faluhong.projects.earthengine.app/view/isp-ts-evaluation#id=162 2002-&gt;2003;lat=39.10001785060209;lon=-84.85417494670972;year=2002;bf=7;level=18;"), "landsat_time_series")</f>
        <v>landsat_time_series</v>
      </c>
      <c r="H163" s="4" t="str">
        <f>HYPERLINK(CONCATENATE("https://jstnbraaten.users.earthengine.app/view/landsat-timeseries-explorer#run=true;lon=-84.85417494670972;lat=39.10001785060209;from=01-01;to=12-31;index=NDVI;rgb=NIR%2FRED%2FGREEN;chipwidth=1;"), "landsat_chips")</f>
        <v>landsat_chips</v>
      </c>
      <c r="I163" s="4" t="str">
        <f>HYPERLINK(CONCATENATE("https://livingatlas.arcgis.com/wayback/#ext=-84.85517494670972,39.10101785060209,-84.85317494670971,39.099017850602095"), "wayback")</f>
        <v>wayback</v>
      </c>
      <c r="J163" s="9" t="s">
        <v>14</v>
      </c>
      <c r="L163" s="9" t="s">
        <v>24</v>
      </c>
    </row>
    <row r="164" spans="1:13">
      <c r="A164" s="1" t="s">
        <v>45</v>
      </c>
      <c r="B164" s="1">
        <v>163</v>
      </c>
      <c r="C164" s="1">
        <v>2013</v>
      </c>
      <c r="D164" s="1">
        <v>2014</v>
      </c>
      <c r="E164" s="1">
        <v>39.403738303065779</v>
      </c>
      <c r="F164" s="1">
        <v>-79.051728628931315</v>
      </c>
      <c r="G164" s="4" t="str">
        <f>HYPERLINK(CONCATENATE("https://ee-faluhong.projects.earthengine.app/view/isp-ts-evaluation#id=163 2013-&gt;2014;lat=39.40373830306578;lon=-79.05172862893131;year=2013;bf=7;level=18;"), "landsat_time_series")</f>
        <v>landsat_time_series</v>
      </c>
      <c r="H164" s="4" t="str">
        <f>HYPERLINK(CONCATENATE("https://jstnbraaten.users.earthengine.app/view/landsat-timeseries-explorer#run=true;lon=-79.05172862893131;lat=39.40373830306578;from=01-01;to=12-31;index=NDVI;rgb=NIR%2FRED%2FGREEN;chipwidth=1;"), "landsat_chips")</f>
        <v>landsat_chips</v>
      </c>
      <c r="I164" s="4" t="str">
        <f>HYPERLINK(CONCATENATE("https://livingatlas.arcgis.com/wayback/#ext=-79.05272862893132,39.40473830306578,-79.05072862893131,39.40273830306578"), "wayback")</f>
        <v>wayback</v>
      </c>
      <c r="J164" s="9" t="s">
        <v>19</v>
      </c>
      <c r="L164" s="9" t="s">
        <v>15</v>
      </c>
    </row>
    <row r="165" spans="1:13">
      <c r="A165" s="1" t="s">
        <v>45</v>
      </c>
      <c r="B165" s="1">
        <v>164</v>
      </c>
      <c r="C165" s="1">
        <v>2006</v>
      </c>
      <c r="D165" s="1">
        <v>2007</v>
      </c>
      <c r="E165" s="1">
        <v>32.808202704513917</v>
      </c>
      <c r="F165" s="1">
        <v>-95.509527161792278</v>
      </c>
      <c r="G165" s="4" t="str">
        <f>HYPERLINK(CONCATENATE("https://ee-faluhong.projects.earthengine.app/view/isp-ts-evaluation#id=164 2006-&gt;2007;lat=32.80820270451392;lon=-95.50952716179228;year=2006;bf=7;level=18;"), "landsat_time_series")</f>
        <v>landsat_time_series</v>
      </c>
      <c r="H165" s="4" t="str">
        <f>HYPERLINK(CONCATENATE("https://jstnbraaten.users.earthengine.app/view/landsat-timeseries-explorer#run=true;lon=-95.50952716179228;lat=32.80820270451392;from=01-01;to=12-31;index=NDVI;rgb=NIR%2FRED%2FGREEN;chipwidth=1;"), "landsat_chips")</f>
        <v>landsat_chips</v>
      </c>
      <c r="I165" s="4" t="str">
        <f>HYPERLINK(CONCATENATE("https://livingatlas.arcgis.com/wayback/#ext=-95.51052716179228,32.809202704513915,-95.50852716179227,32.80720270451392"), "wayback")</f>
        <v>wayback</v>
      </c>
      <c r="J165" s="9" t="s">
        <v>14</v>
      </c>
      <c r="L165" s="9" t="s">
        <v>15</v>
      </c>
    </row>
    <row r="166" spans="1:13">
      <c r="A166" s="1" t="s">
        <v>45</v>
      </c>
      <c r="B166" s="1">
        <v>165</v>
      </c>
      <c r="C166" s="1">
        <v>2016</v>
      </c>
      <c r="D166" s="1">
        <v>2017</v>
      </c>
      <c r="E166" s="1">
        <v>27.445482781497279</v>
      </c>
      <c r="F166" s="1">
        <v>-80.636117476350336</v>
      </c>
      <c r="G166" s="4" t="str">
        <f>HYPERLINK(CONCATENATE("https://ee-faluhong.projects.earthengine.app/view/isp-ts-evaluation#id=165 2016-&gt;2017;lat=27.44548278149728;lon=-80.63611747635034;year=2016;bf=7;level=18;"), "landsat_time_series")</f>
        <v>landsat_time_series</v>
      </c>
      <c r="H166" s="4" t="str">
        <f>HYPERLINK(CONCATENATE("https://jstnbraaten.users.earthengine.app/view/landsat-timeseries-explorer#run=true;lon=-80.63611747635034;lat=27.44548278149728;from=01-01;to=12-31;index=NDVI;rgb=NIR%2FRED%2FGREEN;chipwidth=1;"), "landsat_chips")</f>
        <v>landsat_chips</v>
      </c>
      <c r="I166" s="4" t="str">
        <f>HYPERLINK(CONCATENATE("https://livingatlas.arcgis.com/wayback/#ext=-80.63711747635034,27.44648278149728,-80.63511747635033,27.44448278149728"), "wayback")</f>
        <v>wayback</v>
      </c>
      <c r="J166" s="9" t="s">
        <v>17</v>
      </c>
      <c r="L166" s="9" t="s">
        <v>24</v>
      </c>
      <c r="M166" s="9" t="s">
        <v>62</v>
      </c>
    </row>
    <row r="167" spans="1:13">
      <c r="A167" s="1" t="s">
        <v>45</v>
      </c>
      <c r="B167" s="1">
        <v>166</v>
      </c>
      <c r="C167" s="1">
        <v>2009</v>
      </c>
      <c r="D167" s="1">
        <v>2010</v>
      </c>
      <c r="E167" s="1">
        <v>43.129345224202297</v>
      </c>
      <c r="F167" s="1">
        <v>-114.9047640504287</v>
      </c>
      <c r="G167" s="4" t="str">
        <f>HYPERLINK(CONCATENATE("https://ee-faluhong.projects.earthengine.app/view/isp-ts-evaluation#id=166 2009-&gt;2010;lat=43.1293452242023;lon=-114.9047640504287;year=2009;bf=7;level=18;"), "landsat_time_series")</f>
        <v>landsat_time_series</v>
      </c>
      <c r="H167" s="4" t="str">
        <f>HYPERLINK(CONCATENATE("https://jstnbraaten.users.earthengine.app/view/landsat-timeseries-explorer#run=true;lon=-114.9047640504287;lat=43.1293452242023;from=01-01;to=12-31;index=NDVI;rgb=NIR%2FRED%2FGREEN;chipwidth=1;"), "landsat_chips")</f>
        <v>landsat_chips</v>
      </c>
      <c r="I167" s="4" t="str">
        <f>HYPERLINK(CONCATENATE("https://livingatlas.arcgis.com/wayback/#ext=-114.9057640504287,43.130345224202294,-114.90376405042869,43.1283452242023"), "wayback")</f>
        <v>wayback</v>
      </c>
      <c r="J167" s="9" t="s">
        <v>19</v>
      </c>
      <c r="L167" s="9" t="s">
        <v>15</v>
      </c>
    </row>
    <row r="168" spans="1:13">
      <c r="A168" s="1" t="s">
        <v>45</v>
      </c>
      <c r="B168" s="1">
        <v>167</v>
      </c>
      <c r="C168" s="1">
        <v>2002</v>
      </c>
      <c r="D168" s="1">
        <v>2003</v>
      </c>
      <c r="E168" s="1">
        <v>43.410078390848213</v>
      </c>
      <c r="F168" s="1">
        <v>-117.8677269549748</v>
      </c>
      <c r="G168" s="4" t="str">
        <f>HYPERLINK(CONCATENATE("https://ee-faluhong.projects.earthengine.app/view/isp-ts-evaluation#id=167 2002-&gt;2003;lat=43.41007839084821;lon=-117.8677269549748;year=2002;bf=7;level=18;"), "landsat_time_series")</f>
        <v>landsat_time_series</v>
      </c>
      <c r="H168" s="4" t="str">
        <f>HYPERLINK(CONCATENATE("https://jstnbraaten.users.earthengine.app/view/landsat-timeseries-explorer#run=true;lon=-117.8677269549748;lat=43.41007839084821;from=01-01;to=12-31;index=NDVI;rgb=NIR%2FRED%2FGREEN;chipwidth=1;"), "landsat_chips")</f>
        <v>landsat_chips</v>
      </c>
      <c r="I168" s="4" t="str">
        <f>HYPERLINK(CONCATENATE("https://livingatlas.arcgis.com/wayback/#ext=-117.8687269549748,43.41107839084821,-117.8667269549748,43.409078390848215"), "wayback")</f>
        <v>wayback</v>
      </c>
      <c r="J168" s="9" t="s">
        <v>19</v>
      </c>
      <c r="L168" s="9" t="s">
        <v>15</v>
      </c>
    </row>
    <row r="169" spans="1:13">
      <c r="A169" s="1" t="s">
        <v>45</v>
      </c>
      <c r="B169" s="1">
        <v>168</v>
      </c>
      <c r="C169" s="1">
        <v>2007</v>
      </c>
      <c r="D169" s="1">
        <v>2008</v>
      </c>
      <c r="E169" s="1">
        <v>45.940449686605362</v>
      </c>
      <c r="F169" s="1">
        <v>-96.442409635578883</v>
      </c>
      <c r="G169" s="4" t="str">
        <f>HYPERLINK(CONCATENATE("https://ee-faluhong.projects.earthengine.app/view/isp-ts-evaluation#id=168 2007-&gt;2008;lat=45.94044968660536;lon=-96.44240963557888;year=2007;bf=7;level=18;"), "landsat_time_series")</f>
        <v>landsat_time_series</v>
      </c>
      <c r="H169" s="4" t="str">
        <f>HYPERLINK(CONCATENATE("https://jstnbraaten.users.earthengine.app/view/landsat-timeseries-explorer#run=true;lon=-96.44240963557888;lat=45.94044968660536;from=01-01;to=12-31;index=NDVI;rgb=NIR%2FRED%2FGREEN;chipwidth=1;"), "landsat_chips")</f>
        <v>landsat_chips</v>
      </c>
      <c r="I169" s="4" t="str">
        <f>HYPERLINK(CONCATENATE("https://livingatlas.arcgis.com/wayback/#ext=-96.44340963557889,45.94144968660536,-96.44140963557888,45.939449686605364"), "wayback")</f>
        <v>wayback</v>
      </c>
      <c r="J169" s="9" t="s">
        <v>19</v>
      </c>
      <c r="L169" s="9" t="s">
        <v>15</v>
      </c>
    </row>
    <row r="170" spans="1:13">
      <c r="A170" s="1" t="s">
        <v>45</v>
      </c>
      <c r="B170" s="1">
        <v>169</v>
      </c>
      <c r="C170" s="1">
        <v>2008</v>
      </c>
      <c r="D170" s="1">
        <v>2009</v>
      </c>
      <c r="E170" s="1">
        <v>37.245562044846601</v>
      </c>
      <c r="F170" s="1">
        <v>-83.553530546756463</v>
      </c>
      <c r="G170" s="4" t="str">
        <f>HYPERLINK(CONCATENATE("https://ee-faluhong.projects.earthengine.app/view/isp-ts-evaluation#id=169 2008-&gt;2009;lat=37.2455620448466;lon=-83.55353054675646;year=2008;bf=7;level=18;"), "landsat_time_series")</f>
        <v>landsat_time_series</v>
      </c>
      <c r="H170" s="4" t="str">
        <f>HYPERLINK(CONCATENATE("https://jstnbraaten.users.earthengine.app/view/landsat-timeseries-explorer#run=true;lon=-83.55353054675646;lat=37.2455620448466;from=01-01;to=12-31;index=NDVI;rgb=NIR%2FRED%2FGREEN;chipwidth=1;"), "landsat_chips")</f>
        <v>landsat_chips</v>
      </c>
      <c r="I170" s="4" t="str">
        <f>HYPERLINK(CONCATENATE("https://livingatlas.arcgis.com/wayback/#ext=-83.55453054675647,37.2465620448466,-83.55253054675646,37.2445620448466"), "wayback")</f>
        <v>wayback</v>
      </c>
      <c r="J170" s="9" t="s">
        <v>17</v>
      </c>
      <c r="L170" s="9" t="s">
        <v>24</v>
      </c>
    </row>
    <row r="171" spans="1:13">
      <c r="A171" s="1" t="s">
        <v>45</v>
      </c>
      <c r="B171" s="1">
        <v>170</v>
      </c>
      <c r="C171" s="1">
        <v>2000</v>
      </c>
      <c r="D171" s="1">
        <v>2001</v>
      </c>
      <c r="E171" s="1">
        <v>34.592590264084897</v>
      </c>
      <c r="F171" s="1">
        <v>-88.084081114097273</v>
      </c>
      <c r="G171" s="4" t="str">
        <f>HYPERLINK(CONCATENATE("https://ee-faluhong.projects.earthengine.app/view/isp-ts-evaluation#id=170 2000-&gt;2001;lat=34.5925902640849;lon=-88.08408111409727;year=2000;bf=7;level=18;"), "landsat_time_series")</f>
        <v>landsat_time_series</v>
      </c>
      <c r="H171" s="4" t="str">
        <f>HYPERLINK(CONCATENATE("https://jstnbraaten.users.earthengine.app/view/landsat-timeseries-explorer#run=true;lon=-88.08408111409727;lat=34.5925902640849;from=01-01;to=12-31;index=NDVI;rgb=NIR%2FRED%2FGREEN;chipwidth=1;"), "landsat_chips")</f>
        <v>landsat_chips</v>
      </c>
      <c r="I171" s="4" t="str">
        <f>HYPERLINK(CONCATENATE("https://livingatlas.arcgis.com/wayback/#ext=-88.08508111409728,34.593590264084895,-88.08308111409727,34.5915902640849"), "wayback")</f>
        <v>wayback</v>
      </c>
      <c r="J171" s="9" t="s">
        <v>19</v>
      </c>
      <c r="L171" s="9" t="s">
        <v>24</v>
      </c>
    </row>
    <row r="172" spans="1:13">
      <c r="A172" s="1" t="s">
        <v>45</v>
      </c>
      <c r="B172" s="1">
        <v>171</v>
      </c>
      <c r="C172" s="1">
        <v>2019</v>
      </c>
      <c r="D172" s="1">
        <v>2020</v>
      </c>
      <c r="E172" s="1">
        <v>39.22548832883092</v>
      </c>
      <c r="F172" s="1">
        <v>-76.597086276006536</v>
      </c>
      <c r="G172" s="4" t="str">
        <f>HYPERLINK(CONCATENATE("https://ee-faluhong.projects.earthengine.app/view/isp-ts-evaluation#id=171 2019-&gt;2020;lat=39.22548832883092;lon=-76.59708627600654;year=2019;bf=7;level=18;"), "landsat_time_series")</f>
        <v>landsat_time_series</v>
      </c>
      <c r="H172" s="4" t="str">
        <f>HYPERLINK(CONCATENATE("https://jstnbraaten.users.earthengine.app/view/landsat-timeseries-explorer#run=true;lon=-76.59708627600654;lat=39.22548832883092;from=01-01;to=12-31;index=NDVI;rgb=NIR%2FRED%2FGREEN;chipwidth=1;"), "landsat_chips")</f>
        <v>landsat_chips</v>
      </c>
      <c r="I172" s="4" t="str">
        <f>HYPERLINK(CONCATENATE("https://livingatlas.arcgis.com/wayback/#ext=-76.59808627600654,39.22648832883092,-76.59608627600653,39.22448832883092"), "wayback")</f>
        <v>wayback</v>
      </c>
      <c r="J172" s="9" t="s">
        <v>44</v>
      </c>
      <c r="L172" s="9" t="s">
        <v>31</v>
      </c>
    </row>
    <row r="173" spans="1:13">
      <c r="A173" s="1" t="s">
        <v>45</v>
      </c>
      <c r="B173" s="1">
        <v>172</v>
      </c>
      <c r="C173" s="1">
        <v>2007</v>
      </c>
      <c r="D173" s="1">
        <v>2008</v>
      </c>
      <c r="E173" s="1">
        <v>29.229284988504169</v>
      </c>
      <c r="F173" s="1">
        <v>-81.053473573811544</v>
      </c>
      <c r="G173" s="4" t="str">
        <f>HYPERLINK(CONCATENATE("https://ee-faluhong.projects.earthengine.app/view/isp-ts-evaluation#id=172 2007-&gt;2008;lat=29.22928498850417;lon=-81.05347357381154;year=2007;bf=7;level=18;"), "landsat_time_series")</f>
        <v>landsat_time_series</v>
      </c>
      <c r="H173" s="4" t="str">
        <f>HYPERLINK(CONCATENATE("https://jstnbraaten.users.earthengine.app/view/landsat-timeseries-explorer#run=true;lon=-81.05347357381154;lat=29.22928498850417;from=01-01;to=12-31;index=NDVI;rgb=NIR%2FRED%2FGREEN;chipwidth=1;"), "landsat_chips")</f>
        <v>landsat_chips</v>
      </c>
      <c r="I173" s="4" t="str">
        <f>HYPERLINK(CONCATENATE("https://livingatlas.arcgis.com/wayback/#ext=-81.05447357381155,29.23028498850417,-81.05247357381154,29.228284988504168"), "wayback")</f>
        <v>wayback</v>
      </c>
      <c r="J173" s="9" t="s">
        <v>25</v>
      </c>
      <c r="K173" s="9" t="s">
        <v>40</v>
      </c>
      <c r="L173" s="9" t="s">
        <v>15</v>
      </c>
    </row>
    <row r="174" spans="1:13">
      <c r="A174" s="1" t="s">
        <v>45</v>
      </c>
      <c r="B174" s="1">
        <v>173</v>
      </c>
      <c r="C174" s="1">
        <v>2010</v>
      </c>
      <c r="D174" s="1">
        <v>2011</v>
      </c>
      <c r="E174" s="1">
        <v>35.68864396806984</v>
      </c>
      <c r="F174" s="1">
        <v>-103.24397554050439</v>
      </c>
      <c r="G174" s="4" t="str">
        <f>HYPERLINK(CONCATENATE("https://ee-faluhong.projects.earthengine.app/view/isp-ts-evaluation#id=173 2010-&gt;2011;lat=35.68864396806984;lon=-103.2439755405044;year=2010;bf=7;level=18;"), "landsat_time_series")</f>
        <v>landsat_time_series</v>
      </c>
      <c r="H174" s="4" t="str">
        <f>HYPERLINK(CONCATENATE("https://jstnbraaten.users.earthengine.app/view/landsat-timeseries-explorer#run=true;lon=-103.2439755405044;lat=35.68864396806984;from=01-01;to=12-31;index=NDVI;rgb=NIR%2FRED%2FGREEN;chipwidth=1;"), "landsat_chips")</f>
        <v>landsat_chips</v>
      </c>
      <c r="I174" s="4" t="str">
        <f>HYPERLINK(CONCATENATE("https://livingatlas.arcgis.com/wayback/#ext=-103.2449755405044,35.68964396806984,-103.24297554050439,35.68764396806984"), "wayback")</f>
        <v>wayback</v>
      </c>
      <c r="J174" s="9" t="s">
        <v>19</v>
      </c>
      <c r="L174" s="9" t="s">
        <v>15</v>
      </c>
    </row>
    <row r="175" spans="1:13">
      <c r="A175" s="1" t="s">
        <v>45</v>
      </c>
      <c r="B175" s="1">
        <v>174</v>
      </c>
      <c r="C175" s="1">
        <v>2008</v>
      </c>
      <c r="D175" s="1">
        <v>2009</v>
      </c>
      <c r="E175" s="1">
        <v>38.930229943748763</v>
      </c>
      <c r="F175" s="1">
        <v>-95.271336990057165</v>
      </c>
      <c r="G175" s="4" t="str">
        <f>HYPERLINK(CONCATENATE("https://ee-faluhong.projects.earthengine.app/view/isp-ts-evaluation#id=174 2008-&gt;2009;lat=38.93022994374876;lon=-95.27133699005716;year=2008;bf=7;level=18;"), "landsat_time_series")</f>
        <v>landsat_time_series</v>
      </c>
      <c r="H175" s="4" t="str">
        <f>HYPERLINK(CONCATENATE("https://jstnbraaten.users.earthengine.app/view/landsat-timeseries-explorer#run=true;lon=-95.27133699005716;lat=38.93022994374876;from=01-01;to=12-31;index=NDVI;rgb=NIR%2FRED%2FGREEN;chipwidth=1;"), "landsat_chips")</f>
        <v>landsat_chips</v>
      </c>
      <c r="I175" s="4" t="str">
        <f>HYPERLINK(CONCATENATE("https://livingatlas.arcgis.com/wayback/#ext=-95.27233699005717,38.93122994374876,-95.27033699005716,38.929229943748766"), "wayback")</f>
        <v>wayback</v>
      </c>
      <c r="J175" s="9" t="s">
        <v>25</v>
      </c>
      <c r="K175" s="9" t="s">
        <v>26</v>
      </c>
      <c r="L175" s="9" t="s">
        <v>24</v>
      </c>
    </row>
    <row r="176" spans="1:13">
      <c r="A176" s="1" t="s">
        <v>45</v>
      </c>
      <c r="B176" s="1">
        <v>175</v>
      </c>
      <c r="C176" s="1">
        <v>2016</v>
      </c>
      <c r="D176" s="1">
        <v>2017</v>
      </c>
      <c r="E176" s="1">
        <v>42.449545008059793</v>
      </c>
      <c r="F176" s="1">
        <v>-119.3047345975895</v>
      </c>
      <c r="G176" s="4" t="str">
        <f>HYPERLINK(CONCATENATE("https://ee-faluhong.projects.earthengine.app/view/isp-ts-evaluation#id=175 2016-&gt;2017;lat=42.44954500805979;lon=-119.3047345975895;year=2016;bf=7;level=18;"), "landsat_time_series")</f>
        <v>landsat_time_series</v>
      </c>
      <c r="H176" s="4" t="str">
        <f>HYPERLINK(CONCATENATE("https://jstnbraaten.users.earthengine.app/view/landsat-timeseries-explorer#run=true;lon=-119.3047345975895;lat=42.44954500805979;from=01-01;to=12-31;index=NDVI;rgb=NIR%2FRED%2FGREEN;chipwidth=1;"), "landsat_chips")</f>
        <v>landsat_chips</v>
      </c>
      <c r="I176" s="4" t="str">
        <f>HYPERLINK(CONCATENATE("https://livingatlas.arcgis.com/wayback/#ext=-119.3057345975895,42.45054500805979,-119.3037345975895,42.448545008059796"), "wayback")</f>
        <v>wayback</v>
      </c>
      <c r="J176" s="9" t="s">
        <v>19</v>
      </c>
      <c r="L176" s="9" t="s">
        <v>15</v>
      </c>
    </row>
    <row r="177" spans="1:13">
      <c r="A177" s="1" t="s">
        <v>45</v>
      </c>
      <c r="B177" s="1">
        <v>176</v>
      </c>
      <c r="C177" s="1">
        <v>2003</v>
      </c>
      <c r="D177" s="1">
        <v>2004</v>
      </c>
      <c r="E177" s="1">
        <v>44.517758246396617</v>
      </c>
      <c r="F177" s="1">
        <v>-69.511875217133422</v>
      </c>
      <c r="G177" s="4" t="str">
        <f>HYPERLINK(CONCATENATE("https://ee-faluhong.projects.earthengine.app/view/isp-ts-evaluation#id=176 2003-&gt;2004;lat=44.51775824639662;lon=-69.51187521713342;year=2003;bf=7;level=18;"), "landsat_time_series")</f>
        <v>landsat_time_series</v>
      </c>
      <c r="H177" s="4" t="str">
        <f>HYPERLINK(CONCATENATE("https://jstnbraaten.users.earthengine.app/view/landsat-timeseries-explorer#run=true;lon=-69.51187521713342;lat=44.51775824639662;from=01-01;to=12-31;index=NDVI;rgb=NIR%2FRED%2FGREEN;chipwidth=1;"), "landsat_chips")</f>
        <v>landsat_chips</v>
      </c>
      <c r="I177" s="4" t="str">
        <f>HYPERLINK(CONCATENATE("https://livingatlas.arcgis.com/wayback/#ext=-69.51287521713343,44.518758246396615,-69.51087521713342,44.51675824639662"), "wayback")</f>
        <v>wayback</v>
      </c>
      <c r="J177" s="9" t="s">
        <v>17</v>
      </c>
      <c r="L177" s="9" t="s">
        <v>24</v>
      </c>
    </row>
    <row r="178" spans="1:13">
      <c r="A178" s="1" t="s">
        <v>45</v>
      </c>
      <c r="B178" s="1">
        <v>177</v>
      </c>
      <c r="C178" s="1">
        <v>2017</v>
      </c>
      <c r="D178" s="1">
        <v>2018</v>
      </c>
      <c r="E178" s="1">
        <v>42.677790741262662</v>
      </c>
      <c r="F178" s="1">
        <v>-83.704461596409359</v>
      </c>
      <c r="G178" s="4" t="str">
        <f>HYPERLINK(CONCATENATE("https://ee-faluhong.projects.earthengine.app/view/isp-ts-evaluation#id=177 2017-&gt;2018;lat=42.67779074126266;lon=-83.70446159640936;year=2017;bf=7;level=18;"), "landsat_time_series")</f>
        <v>landsat_time_series</v>
      </c>
      <c r="H178" s="4" t="str">
        <f>HYPERLINK(CONCATENATE("https://jstnbraaten.users.earthengine.app/view/landsat-timeseries-explorer#run=true;lon=-83.70446159640936;lat=42.67779074126266;from=01-01;to=12-31;index=NDVI;rgb=NIR%2FRED%2FGREEN;chipwidth=1;"), "landsat_chips")</f>
        <v>landsat_chips</v>
      </c>
      <c r="I178" s="4" t="str">
        <f>HYPERLINK(CONCATENATE("https://livingatlas.arcgis.com/wayback/#ext=-83.70546159640936,42.67879074126266,-83.70346159640935,42.676790741262664"), "wayback")</f>
        <v>wayback</v>
      </c>
      <c r="J178" s="9" t="s">
        <v>17</v>
      </c>
      <c r="L178" s="10"/>
      <c r="M178" s="9" t="s">
        <v>63</v>
      </c>
    </row>
    <row r="179" spans="1:13">
      <c r="A179" s="1" t="s">
        <v>45</v>
      </c>
      <c r="B179" s="1">
        <v>178</v>
      </c>
      <c r="C179" s="1">
        <v>2005</v>
      </c>
      <c r="D179" s="1">
        <v>2006</v>
      </c>
      <c r="E179" s="1">
        <v>38.662250762871103</v>
      </c>
      <c r="F179" s="1">
        <v>-89.703066454919565</v>
      </c>
      <c r="G179" s="4" t="str">
        <f>HYPERLINK(CONCATENATE("https://ee-faluhong.projects.earthengine.app/view/isp-ts-evaluation#id=178 2005-&gt;2006;lat=38.6622507628711;lon=-89.70306645491956;year=2005;bf=7;level=18;"), "landsat_time_series")</f>
        <v>landsat_time_series</v>
      </c>
      <c r="H179" s="4" t="str">
        <f>HYPERLINK(CONCATENATE("https://jstnbraaten.users.earthengine.app/view/landsat-timeseries-explorer#run=true;lon=-89.70306645491956;lat=38.6622507628711;from=01-01;to=12-31;index=NDVI;rgb=NIR%2FRED%2FGREEN;chipwidth=1;"), "landsat_chips")</f>
        <v>landsat_chips</v>
      </c>
      <c r="I179" s="4" t="str">
        <f>HYPERLINK(CONCATENATE("https://livingatlas.arcgis.com/wayback/#ext=-89.70406645491957,38.6632507628711,-89.70206645491956,38.661250762871106"), "wayback")</f>
        <v>wayback</v>
      </c>
      <c r="J179" s="9" t="s">
        <v>17</v>
      </c>
      <c r="L179" s="9" t="s">
        <v>15</v>
      </c>
    </row>
    <row r="180" spans="1:13">
      <c r="A180" s="1" t="s">
        <v>45</v>
      </c>
      <c r="B180" s="1">
        <v>179</v>
      </c>
      <c r="C180" s="1">
        <v>2013</v>
      </c>
      <c r="D180" s="1">
        <v>2014</v>
      </c>
      <c r="E180" s="1">
        <v>30.97855844259864</v>
      </c>
      <c r="F180" s="1">
        <v>-81.67166776826511</v>
      </c>
      <c r="G180" s="4" t="str">
        <f>HYPERLINK(CONCATENATE("https://ee-faluhong.projects.earthengine.app/view/isp-ts-evaluation#id=179 2013-&gt;2014;lat=30.97855844259864;lon=-81.67166776826511;year=2013;bf=7;level=18;"), "landsat_time_series")</f>
        <v>landsat_time_series</v>
      </c>
      <c r="H180" s="4" t="str">
        <f>HYPERLINK(CONCATENATE("https://jstnbraaten.users.earthengine.app/view/landsat-timeseries-explorer#run=true;lon=-81.67166776826511;lat=30.97855844259864;from=01-01;to=12-31;index=NDVI;rgb=NIR%2FRED%2FGREEN;chipwidth=1;"), "landsat_chips")</f>
        <v>landsat_chips</v>
      </c>
      <c r="I180" s="4" t="str">
        <f>HYPERLINK(CONCATENATE("https://livingatlas.arcgis.com/wayback/#ext=-81.67266776826511,30.97955844259864,-81.6706677682651,30.97755844259864"), "wayback")</f>
        <v>wayback</v>
      </c>
      <c r="J180" s="9" t="s">
        <v>17</v>
      </c>
      <c r="L180" s="9" t="s">
        <v>15</v>
      </c>
    </row>
    <row r="181" spans="1:13" ht="15" customHeight="1">
      <c r="A181" s="1" t="s">
        <v>45</v>
      </c>
      <c r="B181" s="1">
        <v>180</v>
      </c>
      <c r="C181" s="1">
        <v>2012</v>
      </c>
      <c r="D181" s="1">
        <v>2013</v>
      </c>
      <c r="E181" s="1">
        <v>25.77996492396781</v>
      </c>
      <c r="F181" s="1">
        <v>-80.319687749917861</v>
      </c>
      <c r="G181" s="4" t="str">
        <f>HYPERLINK(CONCATENATE("https://ee-faluhong.projects.earthengine.app/view/isp-ts-evaluation#id=180 2012-&gt;2013;lat=25.77996492396781;lon=-80.31968774991786;year=2012;bf=7;level=18;"), "landsat_time_series")</f>
        <v>landsat_time_series</v>
      </c>
      <c r="H181" s="4" t="str">
        <f>HYPERLINK(CONCATENATE("https://jstnbraaten.users.earthengine.app/view/landsat-timeseries-explorer#run=true;lon=-80.31968774991786;lat=25.77996492396781;from=01-01;to=12-31;index=NDVI;rgb=NIR%2FRED%2FGREEN;chipwidth=1;"), "landsat_chips")</f>
        <v>landsat_chips</v>
      </c>
      <c r="I181" s="4" t="str">
        <f>HYPERLINK(CONCATENATE("https://livingatlas.arcgis.com/wayback/#ext=-80.32068774991787,25.78096492396781,-80.31868774991786,25.77896492396781"), "wayback")</f>
        <v>wayback</v>
      </c>
      <c r="J181" s="9" t="s">
        <v>21</v>
      </c>
      <c r="L181" s="9" t="s">
        <v>15</v>
      </c>
    </row>
    <row r="182" spans="1:13">
      <c r="A182" s="1" t="s">
        <v>45</v>
      </c>
      <c r="B182" s="1">
        <v>181</v>
      </c>
      <c r="C182" s="1">
        <v>2002</v>
      </c>
      <c r="D182" s="1">
        <v>2003</v>
      </c>
      <c r="E182" s="1">
        <v>27.085403386676511</v>
      </c>
      <c r="F182" s="1">
        <v>-80.529147457608843</v>
      </c>
      <c r="G182" s="4" t="str">
        <f>HYPERLINK(CONCATENATE("https://ee-faluhong.projects.earthengine.app/view/isp-ts-evaluation#id=181 2002-&gt;2003;lat=27.08540338667651;lon=-80.52914745760884;year=2002;bf=7;level=18;"), "landsat_time_series")</f>
        <v>landsat_time_series</v>
      </c>
      <c r="H182" s="4" t="str">
        <f>HYPERLINK(CONCATENATE("https://jstnbraaten.users.earthengine.app/view/landsat-timeseries-explorer#run=true;lon=-80.52914745760884;lat=27.08540338667651;from=01-01;to=12-31;index=NDVI;rgb=NIR%2FRED%2FGREEN;chipwidth=1;"), "landsat_chips")</f>
        <v>landsat_chips</v>
      </c>
      <c r="I182" s="4" t="str">
        <f>HYPERLINK(CONCATENATE("https://livingatlas.arcgis.com/wayback/#ext=-80.53014745760885,27.086403386676512,-80.52814745760884,27.08440338667651"), "wayback")</f>
        <v>wayback</v>
      </c>
      <c r="J182" s="9" t="s">
        <v>19</v>
      </c>
      <c r="L182" s="9" t="s">
        <v>15</v>
      </c>
    </row>
    <row r="183" spans="1:13">
      <c r="A183" s="1" t="s">
        <v>45</v>
      </c>
      <c r="B183" s="1">
        <v>182</v>
      </c>
      <c r="C183" s="1">
        <v>2014</v>
      </c>
      <c r="D183" s="1">
        <v>2015</v>
      </c>
      <c r="E183" s="1">
        <v>38.878446855613447</v>
      </c>
      <c r="F183" s="1">
        <v>-103.0200347373315</v>
      </c>
      <c r="G183" s="4" t="str">
        <f>HYPERLINK(CONCATENATE("https://ee-faluhong.projects.earthengine.app/view/isp-ts-evaluation#id=182 2014-&gt;2015;lat=38.87844685561345;lon=-103.0200347373315;year=2014;bf=7;level=18;"), "landsat_time_series")</f>
        <v>landsat_time_series</v>
      </c>
      <c r="H183" s="4" t="str">
        <f>HYPERLINK(CONCATENATE("https://jstnbraaten.users.earthengine.app/view/landsat-timeseries-explorer#run=true;lon=-103.0200347373315;lat=38.87844685561345;from=01-01;to=12-31;index=NDVI;rgb=NIR%2FRED%2FGREEN;chipwidth=1;"), "landsat_chips")</f>
        <v>landsat_chips</v>
      </c>
      <c r="I183" s="4" t="str">
        <f>HYPERLINK(CONCATENATE("https://livingatlas.arcgis.com/wayback/#ext=-103.0210347373315,38.879446855613445,-103.0190347373315,38.87744685561345"), "wayback")</f>
        <v>wayback</v>
      </c>
      <c r="J183" s="9" t="s">
        <v>19</v>
      </c>
      <c r="L183" s="9" t="s">
        <v>15</v>
      </c>
    </row>
    <row r="184" spans="1:13">
      <c r="A184" s="1" t="s">
        <v>45</v>
      </c>
      <c r="B184" s="1">
        <v>183</v>
      </c>
      <c r="C184" s="1">
        <v>2013</v>
      </c>
      <c r="D184" s="1">
        <v>2014</v>
      </c>
      <c r="E184" s="1">
        <v>41.384766524417621</v>
      </c>
      <c r="F184" s="1">
        <v>-113.70665878962581</v>
      </c>
      <c r="G184" s="4" t="str">
        <f>HYPERLINK(CONCATENATE("https://ee-faluhong.projects.earthengine.app/view/isp-ts-evaluation#id=183 2013-&gt;2014;lat=41.38476652441762;lon=-113.7066587896258;year=2013;bf=7;level=18;"), "landsat_time_series")</f>
        <v>landsat_time_series</v>
      </c>
      <c r="H184" s="4" t="str">
        <f>HYPERLINK(CONCATENATE("https://jstnbraaten.users.earthengine.app/view/landsat-timeseries-explorer#run=true;lon=-113.7066587896258;lat=41.38476652441762;from=01-01;to=12-31;index=NDVI;rgb=NIR%2FRED%2FGREEN;chipwidth=1;"), "landsat_chips")</f>
        <v>landsat_chips</v>
      </c>
      <c r="I184" s="4" t="str">
        <f>HYPERLINK(CONCATENATE("https://livingatlas.arcgis.com/wayback/#ext=-113.70765878962581,41.38576652441762,-113.7056587896258,41.383766524417624"), "wayback")</f>
        <v>wayback</v>
      </c>
      <c r="J184" s="9" t="s">
        <v>19</v>
      </c>
      <c r="L184" s="9" t="s">
        <v>15</v>
      </c>
    </row>
    <row r="185" spans="1:13">
      <c r="A185" s="1" t="s">
        <v>45</v>
      </c>
      <c r="B185" s="1">
        <v>184</v>
      </c>
      <c r="C185" s="1">
        <v>2018</v>
      </c>
      <c r="D185" s="1">
        <v>2019</v>
      </c>
      <c r="E185" s="1">
        <v>36.851974344291072</v>
      </c>
      <c r="F185" s="1">
        <v>-86.486419951502654</v>
      </c>
      <c r="G185" s="4" t="str">
        <f>HYPERLINK(CONCATENATE("https://ee-faluhong.projects.earthengine.app/view/isp-ts-evaluation#id=184 2018-&gt;2019;lat=36.85197434429107;lon=-86.48641995150265;year=2018;bf=7;level=18;"), "landsat_time_series")</f>
        <v>landsat_time_series</v>
      </c>
      <c r="H185" s="4" t="str">
        <f>HYPERLINK(CONCATENATE("https://jstnbraaten.users.earthengine.app/view/landsat-timeseries-explorer#run=true;lon=-86.48641995150265;lat=36.85197434429107;from=01-01;to=12-31;index=NDVI;rgb=NIR%2FRED%2FGREEN;chipwidth=1;"), "landsat_chips")</f>
        <v>landsat_chips</v>
      </c>
      <c r="I185" s="4" t="str">
        <f>HYPERLINK(CONCATENATE("https://livingatlas.arcgis.com/wayback/#ext=-86.48741995150266,36.85297434429107,-86.48541995150265,36.850974344291075"), "wayback")</f>
        <v>wayback</v>
      </c>
      <c r="J185" s="9" t="s">
        <v>19</v>
      </c>
      <c r="L185" s="9" t="s">
        <v>15</v>
      </c>
    </row>
    <row r="186" spans="1:13">
      <c r="A186" s="1" t="s">
        <v>45</v>
      </c>
      <c r="B186" s="1">
        <v>185</v>
      </c>
      <c r="C186" s="1">
        <v>2003</v>
      </c>
      <c r="D186" s="1">
        <v>2004</v>
      </c>
      <c r="E186" s="1">
        <v>33.213275311683972</v>
      </c>
      <c r="F186" s="1">
        <v>-96.744674857403155</v>
      </c>
      <c r="G186" s="4" t="str">
        <f>HYPERLINK(CONCATENATE("https://ee-faluhong.projects.earthengine.app/view/isp-ts-evaluation#id=185 2003-&gt;2004;lat=33.21327531168397;lon=-96.74467485740315;year=2003;bf=7;level=18;"), "landsat_time_series")</f>
        <v>landsat_time_series</v>
      </c>
      <c r="H186" s="4" t="str">
        <f>HYPERLINK(CONCATENATE("https://jstnbraaten.users.earthengine.app/view/landsat-timeseries-explorer#run=true;lon=-96.74467485740315;lat=33.21327531168397;from=01-01;to=12-31;index=NDVI;rgb=NIR%2FRED%2FGREEN;chipwidth=1;"), "landsat_chips")</f>
        <v>landsat_chips</v>
      </c>
      <c r="I186" s="4" t="str">
        <f>HYPERLINK(CONCATENATE("https://livingatlas.arcgis.com/wayback/#ext=-96.74567485740316,33.21427531168397,-96.74367485740315,33.212275311683975"), "wayback")</f>
        <v>wayback</v>
      </c>
      <c r="J186" s="9" t="s">
        <v>19</v>
      </c>
      <c r="L186" s="9" t="s">
        <v>15</v>
      </c>
    </row>
    <row r="187" spans="1:13">
      <c r="A187" s="1" t="s">
        <v>45</v>
      </c>
      <c r="B187" s="1">
        <v>186</v>
      </c>
      <c r="C187" s="1">
        <v>2011</v>
      </c>
      <c r="D187" s="1">
        <v>2012</v>
      </c>
      <c r="E187" s="1">
        <v>33.642263281996257</v>
      </c>
      <c r="F187" s="1">
        <v>-111.9147944052344</v>
      </c>
      <c r="G187" s="4" t="str">
        <f>HYPERLINK(CONCATENATE("https://ee-faluhong.projects.earthengine.app/view/isp-ts-evaluation#id=186 2011-&gt;2012;lat=33.64226328199626;lon=-111.9147944052344;year=2011;bf=7;level=18;"), "landsat_time_series")</f>
        <v>landsat_time_series</v>
      </c>
      <c r="H187" s="4" t="str">
        <f>HYPERLINK(CONCATENATE("https://jstnbraaten.users.earthengine.app/view/landsat-timeseries-explorer#run=true;lon=-111.9147944052344;lat=33.64226328199626;from=01-01;to=12-31;index=NDVI;rgb=NIR%2FRED%2FGREEN;chipwidth=1;"), "landsat_chips")</f>
        <v>landsat_chips</v>
      </c>
      <c r="I187" s="4" t="str">
        <f>HYPERLINK(CONCATENATE("https://livingatlas.arcgis.com/wayback/#ext=-111.91579440523441,33.643263281996255,-111.9137944052344,33.64126328199626"), "wayback")</f>
        <v>wayback</v>
      </c>
      <c r="J187" s="9" t="s">
        <v>17</v>
      </c>
      <c r="L187" s="9" t="s">
        <v>24</v>
      </c>
    </row>
    <row r="188" spans="1:13">
      <c r="A188" s="1" t="s">
        <v>45</v>
      </c>
      <c r="B188" s="1">
        <v>187</v>
      </c>
      <c r="C188" s="1">
        <v>2001</v>
      </c>
      <c r="D188" s="1">
        <v>2002</v>
      </c>
      <c r="E188" s="1">
        <v>39.184668865270517</v>
      </c>
      <c r="F188" s="1">
        <v>-122.1656896650436</v>
      </c>
      <c r="G188" s="4" t="str">
        <f>HYPERLINK(CONCATENATE("https://ee-faluhong.projects.earthengine.app/view/isp-ts-evaluation#id=187 2001-&gt;2002;lat=39.18466886527052;lon=-122.1656896650436;year=2001;bf=7;level=18;"), "landsat_time_series")</f>
        <v>landsat_time_series</v>
      </c>
      <c r="H188" s="4" t="str">
        <f>HYPERLINK(CONCATENATE("https://jstnbraaten.users.earthengine.app/view/landsat-timeseries-explorer#run=true;lon=-122.1656896650436;lat=39.18466886527052;from=01-01;to=12-31;index=NDVI;rgb=NIR%2FRED%2FGREEN;chipwidth=1;"), "landsat_chips")</f>
        <v>landsat_chips</v>
      </c>
      <c r="I188" s="4" t="str">
        <f>HYPERLINK(CONCATENATE("https://livingatlas.arcgis.com/wayback/#ext=-122.1666896650436,39.185668865270515,-122.1646896650436,39.18366886527052"), "wayback")</f>
        <v>wayback</v>
      </c>
      <c r="J188" s="9" t="s">
        <v>17</v>
      </c>
      <c r="L188" s="9" t="s">
        <v>31</v>
      </c>
    </row>
    <row r="189" spans="1:13">
      <c r="A189" s="1" t="s">
        <v>45</v>
      </c>
      <c r="B189" s="1">
        <v>188</v>
      </c>
      <c r="C189" s="1">
        <v>2003</v>
      </c>
      <c r="D189" s="1">
        <v>2004</v>
      </c>
      <c r="E189" s="1">
        <v>32.834779608241782</v>
      </c>
      <c r="F189" s="1">
        <v>-97.023197046997836</v>
      </c>
      <c r="G189" s="4" t="str">
        <f>HYPERLINK(CONCATENATE("https://ee-faluhong.projects.earthengine.app/view/isp-ts-evaluation#id=188 2003-&gt;2004;lat=32.83477960824178;lon=-97.02319704699784;year=2003;bf=7;level=18;"), "landsat_time_series")</f>
        <v>landsat_time_series</v>
      </c>
      <c r="H189" s="4" t="str">
        <f>HYPERLINK(CONCATENATE("https://jstnbraaten.users.earthengine.app/view/landsat-timeseries-explorer#run=true;lon=-97.02319704699784;lat=32.83477960824178;from=01-01;to=12-31;index=NDVI;rgb=NIR%2FRED%2FGREEN;chipwidth=1;"), "landsat_chips")</f>
        <v>landsat_chips</v>
      </c>
      <c r="I189" s="4" t="str">
        <f>HYPERLINK(CONCATENATE("https://livingatlas.arcgis.com/wayback/#ext=-97.02419704699784,32.83577960824178,-97.02219704699783,32.833779608241784"), "wayback")</f>
        <v>wayback</v>
      </c>
      <c r="J189" s="9" t="s">
        <v>14</v>
      </c>
      <c r="L189" s="9" t="s">
        <v>15</v>
      </c>
    </row>
    <row r="190" spans="1:13">
      <c r="A190" s="1" t="s">
        <v>45</v>
      </c>
      <c r="B190" s="1">
        <v>189</v>
      </c>
      <c r="C190" s="1">
        <v>2000</v>
      </c>
      <c r="D190" s="1">
        <v>2001</v>
      </c>
      <c r="E190" s="1">
        <v>28.064294003194849</v>
      </c>
      <c r="F190" s="1">
        <v>-80.654177095893189</v>
      </c>
      <c r="G190" s="4" t="str">
        <f>HYPERLINK(CONCATENATE("https://ee-faluhong.projects.earthengine.app/view/isp-ts-evaluation#id=189 2000-&gt;2001;lat=28.06429400319485;lon=-80.65417709589319;year=2000;bf=7;level=18;"), "landsat_time_series")</f>
        <v>landsat_time_series</v>
      </c>
      <c r="H190" s="4" t="str">
        <f>HYPERLINK(CONCATENATE("https://jstnbraaten.users.earthengine.app/view/landsat-timeseries-explorer#run=true;lon=-80.65417709589319;lat=28.06429400319485;from=01-01;to=12-31;index=NDVI;rgb=NIR%2FRED%2FGREEN;chipwidth=1;"), "landsat_chips")</f>
        <v>landsat_chips</v>
      </c>
      <c r="I190" s="4" t="str">
        <f>HYPERLINK(CONCATENATE("https://livingatlas.arcgis.com/wayback/#ext=-80.6551770958932,28.06529400319485,-80.65317709589318,28.063294003194848"), "wayback")</f>
        <v>wayback</v>
      </c>
      <c r="J190" s="9" t="s">
        <v>14</v>
      </c>
      <c r="L190" s="9" t="s">
        <v>15</v>
      </c>
    </row>
    <row r="191" spans="1:13">
      <c r="A191" s="1" t="s">
        <v>45</v>
      </c>
      <c r="B191" s="1">
        <v>190</v>
      </c>
      <c r="C191" s="1">
        <v>2019</v>
      </c>
      <c r="D191" s="1">
        <v>2020</v>
      </c>
      <c r="E191" s="1">
        <v>33.497921140467938</v>
      </c>
      <c r="F191" s="1">
        <v>-93.148918791519719</v>
      </c>
      <c r="G191" s="4" t="str">
        <f>HYPERLINK(CONCATENATE("https://ee-faluhong.projects.earthengine.app/view/isp-ts-evaluation#id=190 2019-&gt;2020;lat=33.49792114046794;lon=-93.14891879151972;year=2019;bf=7;level=18;"), "landsat_time_series")</f>
        <v>landsat_time_series</v>
      </c>
      <c r="H191" s="4" t="str">
        <f>HYPERLINK(CONCATENATE("https://jstnbraaten.users.earthengine.app/view/landsat-timeseries-explorer#run=true;lon=-93.14891879151972;lat=33.49792114046794;from=01-01;to=12-31;index=NDVI;rgb=NIR%2FRED%2FGREEN;chipwidth=1;"), "landsat_chips")</f>
        <v>landsat_chips</v>
      </c>
      <c r="I191" s="4" t="str">
        <f>HYPERLINK(CONCATENATE("https://livingatlas.arcgis.com/wayback/#ext=-93.14991879151972,33.498921140467935,-93.14791879151971,33.49692114046794"), "wayback")</f>
        <v>wayback</v>
      </c>
      <c r="J191" s="9" t="s">
        <v>25</v>
      </c>
      <c r="K191" s="9" t="s">
        <v>26</v>
      </c>
      <c r="L191" s="10" t="s">
        <v>56</v>
      </c>
    </row>
    <row r="192" spans="1:13">
      <c r="A192" s="1" t="s">
        <v>45</v>
      </c>
      <c r="B192" s="1">
        <v>191</v>
      </c>
      <c r="C192" s="1">
        <v>2014</v>
      </c>
      <c r="D192" s="1">
        <v>2015</v>
      </c>
      <c r="E192" s="1">
        <v>34.345108921515831</v>
      </c>
      <c r="F192" s="1">
        <v>-83.7022001122414</v>
      </c>
      <c r="G192" s="4" t="str">
        <f>HYPERLINK(CONCATENATE("https://ee-faluhong.projects.earthengine.app/view/isp-ts-evaluation#id=191 2014-&gt;2015;lat=34.34510892151583;lon=-83.7022001122414;year=2014;bf=7;level=18;"), "landsat_time_series")</f>
        <v>landsat_time_series</v>
      </c>
      <c r="H192" s="4" t="str">
        <f>HYPERLINK(CONCATENATE("https://jstnbraaten.users.earthengine.app/view/landsat-timeseries-explorer#run=true;lon=-83.7022001122414;lat=34.34510892151583;from=01-01;to=12-31;index=NDVI;rgb=NIR%2FRED%2FGREEN;chipwidth=1;"), "landsat_chips")</f>
        <v>landsat_chips</v>
      </c>
      <c r="I192" s="4" t="str">
        <f>HYPERLINK(CONCATENATE("https://livingatlas.arcgis.com/wayback/#ext=-83.7032001122414,34.34610892151583,-83.7012001122414,34.34410892151583"), "wayback")</f>
        <v>wayback</v>
      </c>
      <c r="J192" s="9" t="s">
        <v>14</v>
      </c>
      <c r="L192" s="10" t="s">
        <v>31</v>
      </c>
    </row>
    <row r="193" spans="1:12">
      <c r="A193" s="1" t="s">
        <v>45</v>
      </c>
      <c r="B193" s="1">
        <v>192</v>
      </c>
      <c r="C193" s="1">
        <v>2007</v>
      </c>
      <c r="D193" s="1">
        <v>2008</v>
      </c>
      <c r="E193" s="1">
        <v>38.36508991121606</v>
      </c>
      <c r="F193" s="1">
        <v>-93.034551839457635</v>
      </c>
      <c r="G193" s="4" t="str">
        <f>HYPERLINK(CONCATENATE("https://ee-faluhong.projects.earthengine.app/view/isp-ts-evaluation#id=192 2007-&gt;2008;lat=38.36508991121606;lon=-93.03455183945763;year=2007;bf=7;level=18;"), "landsat_time_series")</f>
        <v>landsat_time_series</v>
      </c>
      <c r="H193" s="4" t="str">
        <f>HYPERLINK(CONCATENATE("https://jstnbraaten.users.earthengine.app/view/landsat-timeseries-explorer#run=true;lon=-93.03455183945763;lat=38.36508991121606;from=01-01;to=12-31;index=NDVI;rgb=NIR%2FRED%2FGREEN;chipwidth=1;"), "landsat_chips")</f>
        <v>landsat_chips</v>
      </c>
      <c r="I193" s="4" t="str">
        <f>HYPERLINK(CONCATENATE("https://livingatlas.arcgis.com/wayback/#ext=-93.03555183945764,38.36608991121606,-93.03355183945763,38.36408991121606"), "wayback")</f>
        <v>wayback</v>
      </c>
      <c r="J193" s="9" t="s">
        <v>19</v>
      </c>
      <c r="L193" s="9" t="s">
        <v>15</v>
      </c>
    </row>
    <row r="194" spans="1:12">
      <c r="A194" s="1" t="s">
        <v>45</v>
      </c>
      <c r="B194" s="1">
        <v>193</v>
      </c>
      <c r="C194" s="1">
        <v>2001</v>
      </c>
      <c r="D194" s="1">
        <v>2002</v>
      </c>
      <c r="E194" s="1">
        <v>42.03421222048285</v>
      </c>
      <c r="F194" s="1">
        <v>-115.0535306907003</v>
      </c>
      <c r="G194" s="4" t="str">
        <f>HYPERLINK(CONCATENATE("https://ee-faluhong.projects.earthengine.app/view/isp-ts-evaluation#id=193 2001-&gt;2002;lat=42.03421222048285;lon=-115.0535306907003;year=2001;bf=7;level=18;"), "landsat_time_series")</f>
        <v>landsat_time_series</v>
      </c>
      <c r="H194" s="4" t="str">
        <f>HYPERLINK(CONCATENATE("https://jstnbraaten.users.earthengine.app/view/landsat-timeseries-explorer#run=true;lon=-115.0535306907003;lat=42.03421222048285;from=01-01;to=12-31;index=NDVI;rgb=NIR%2FRED%2FGREEN;chipwidth=1;"), "landsat_chips")</f>
        <v>landsat_chips</v>
      </c>
      <c r="I194" s="4" t="str">
        <f>HYPERLINK(CONCATENATE("https://livingatlas.arcgis.com/wayback/#ext=-115.0545306907003,42.03521222048285,-115.0525306907003,42.03321222048285"), "wayback")</f>
        <v>wayback</v>
      </c>
      <c r="J194" s="9" t="s">
        <v>19</v>
      </c>
      <c r="L194" s="9" t="s">
        <v>15</v>
      </c>
    </row>
    <row r="195" spans="1:12">
      <c r="A195" s="1" t="s">
        <v>45</v>
      </c>
      <c r="B195" s="1">
        <v>194</v>
      </c>
      <c r="C195" s="1">
        <v>2006</v>
      </c>
      <c r="D195" s="1">
        <v>2007</v>
      </c>
      <c r="E195" s="1">
        <v>29.894923673345779</v>
      </c>
      <c r="F195" s="1">
        <v>-90.080755955426156</v>
      </c>
      <c r="G195" s="4" t="str">
        <f>HYPERLINK(CONCATENATE("https://ee-faluhong.projects.earthengine.app/view/isp-ts-evaluation#id=194 2006-&gt;2007;lat=29.89492367334578;lon=-90.08075595542616;year=2006;bf=7;level=18;"), "landsat_time_series")</f>
        <v>landsat_time_series</v>
      </c>
      <c r="H195" s="4" t="str">
        <f>HYPERLINK(CONCATENATE("https://jstnbraaten.users.earthengine.app/view/landsat-timeseries-explorer#run=true;lon=-90.08075595542616;lat=29.89492367334578;from=01-01;to=12-31;index=NDVI;rgb=NIR%2FRED%2FGREEN;chipwidth=1;"), "landsat_chips")</f>
        <v>landsat_chips</v>
      </c>
      <c r="I195" s="4" t="str">
        <f>HYPERLINK(CONCATENATE("https://livingatlas.arcgis.com/wayback/#ext=-90.08175595542616,29.89592367334578,-90.07975595542615,29.89392367334578"), "wayback")</f>
        <v>wayback</v>
      </c>
      <c r="J195" s="9" t="s">
        <v>21</v>
      </c>
      <c r="L195" s="9" t="s">
        <v>15</v>
      </c>
    </row>
    <row r="196" spans="1:12" ht="14.15" customHeight="1">
      <c r="A196" s="1" t="s">
        <v>45</v>
      </c>
      <c r="B196" s="1">
        <v>195</v>
      </c>
      <c r="C196" s="1">
        <v>2010</v>
      </c>
      <c r="D196" s="1">
        <v>2011</v>
      </c>
      <c r="E196" s="1">
        <v>33.157642792513727</v>
      </c>
      <c r="F196" s="1">
        <v>-105.7726307756402</v>
      </c>
      <c r="G196" s="4" t="str">
        <f>HYPERLINK(CONCATENATE("https://ee-faluhong.projects.earthengine.app/view/isp-ts-evaluation#id=195 2010-&gt;2011;lat=33.15764279251373;lon=-105.7726307756402;year=2010;bf=7;level=18;"), "landsat_time_series")</f>
        <v>landsat_time_series</v>
      </c>
      <c r="H196" s="4" t="str">
        <f>HYPERLINK(CONCATENATE("https://jstnbraaten.users.earthengine.app/view/landsat-timeseries-explorer#run=true;lon=-105.7726307756402;lat=33.15764279251373;from=01-01;to=12-31;index=NDVI;rgb=NIR%2FRED%2FGREEN;chipwidth=1;"), "landsat_chips")</f>
        <v>landsat_chips</v>
      </c>
      <c r="I196" s="4" t="str">
        <f>HYPERLINK(CONCATENATE("https://livingatlas.arcgis.com/wayback/#ext=-105.7736307756402,33.158642792513724,-105.77163077564019,33.15664279251373"), "wayback")</f>
        <v>wayback</v>
      </c>
      <c r="J196" s="9" t="s">
        <v>25</v>
      </c>
      <c r="K196" s="9" t="s">
        <v>26</v>
      </c>
      <c r="L196" s="9" t="s">
        <v>24</v>
      </c>
    </row>
    <row r="197" spans="1:12" ht="13.5" customHeight="1">
      <c r="A197" s="1" t="s">
        <v>45</v>
      </c>
      <c r="B197" s="1">
        <v>196</v>
      </c>
      <c r="C197" s="1">
        <v>2007</v>
      </c>
      <c r="D197" s="1">
        <v>2008</v>
      </c>
      <c r="E197" s="1">
        <v>32.966524300396692</v>
      </c>
      <c r="F197" s="1">
        <v>-117.11986624557019</v>
      </c>
      <c r="G197" s="4" t="str">
        <f>HYPERLINK(CONCATENATE("https://ee-faluhong.projects.earthengine.app/view/isp-ts-evaluation#id=196 2007-&gt;2008;lat=32.96652430039669;lon=-117.1198662455702;year=2007;bf=7;level=18;"), "landsat_time_series")</f>
        <v>landsat_time_series</v>
      </c>
      <c r="H197" s="4" t="str">
        <f>HYPERLINK(CONCATENATE("https://jstnbraaten.users.earthengine.app/view/landsat-timeseries-explorer#run=true;lon=-117.1198662455702;lat=32.96652430039669;from=01-01;to=12-31;index=NDVI;rgb=NIR%2FRED%2FGREEN;chipwidth=1;"), "landsat_chips")</f>
        <v>landsat_chips</v>
      </c>
      <c r="I197" s="4" t="str">
        <f>HYPERLINK(CONCATENATE("https://livingatlas.arcgis.com/wayback/#ext=-117.1208662455702,32.96752430039669,-117.11886624557019,32.965524300396694"), "wayback")</f>
        <v>wayback</v>
      </c>
      <c r="J197" s="9" t="s">
        <v>27</v>
      </c>
      <c r="L197" s="9" t="s">
        <v>24</v>
      </c>
    </row>
    <row r="198" spans="1:12">
      <c r="A198" s="1" t="s">
        <v>45</v>
      </c>
      <c r="B198" s="1">
        <v>197</v>
      </c>
      <c r="C198" s="1">
        <v>2006</v>
      </c>
      <c r="D198" s="1">
        <v>2007</v>
      </c>
      <c r="E198" s="1">
        <v>38.376180946730152</v>
      </c>
      <c r="F198" s="1">
        <v>-121.9607013722793</v>
      </c>
      <c r="G198" s="4" t="str">
        <f>HYPERLINK(CONCATENATE("https://ee-faluhong.projects.earthengine.app/view/isp-ts-evaluation#id=197 2006-&gt;2007;lat=38.37618094673015;lon=-121.9607013722793;year=2006;bf=7;level=18;"), "landsat_time_series")</f>
        <v>landsat_time_series</v>
      </c>
      <c r="H198" s="4" t="str">
        <f>HYPERLINK(CONCATENATE("https://jstnbraaten.users.earthengine.app/view/landsat-timeseries-explorer#run=true;lon=-121.9607013722793;lat=38.37618094673015;from=01-01;to=12-31;index=NDVI;rgb=NIR%2FRED%2FGREEN;chipwidth=1;"), "landsat_chips")</f>
        <v>landsat_chips</v>
      </c>
      <c r="I198" s="4" t="str">
        <f>HYPERLINK(CONCATENATE("https://livingatlas.arcgis.com/wayback/#ext=-121.96170137227931,38.37718094673015,-121.9597013722793,38.375180946730154"), "wayback")</f>
        <v>wayback</v>
      </c>
      <c r="J198" s="9" t="s">
        <v>25</v>
      </c>
      <c r="K198" s="9" t="s">
        <v>26</v>
      </c>
      <c r="L198" s="9" t="s">
        <v>15</v>
      </c>
    </row>
    <row r="199" spans="1:12">
      <c r="A199" s="1" t="s">
        <v>45</v>
      </c>
      <c r="B199" s="1">
        <v>198</v>
      </c>
      <c r="C199" s="1">
        <v>2015</v>
      </c>
      <c r="D199" s="1">
        <v>2016</v>
      </c>
      <c r="E199" s="1">
        <v>38.468918480316653</v>
      </c>
      <c r="F199" s="1">
        <v>-92.220030732250649</v>
      </c>
      <c r="G199" s="4" t="str">
        <f>HYPERLINK(CONCATENATE("https://ee-faluhong.projects.earthengine.app/view/isp-ts-evaluation#id=198 2015-&gt;2016;lat=38.46891848031665;lon=-92.22003073225065;year=2015;bf=7;level=18;"), "landsat_time_series")</f>
        <v>landsat_time_series</v>
      </c>
      <c r="H199" s="4" t="str">
        <f>HYPERLINK(CONCATENATE("https://jstnbraaten.users.earthengine.app/view/landsat-timeseries-explorer#run=true;lon=-92.22003073225065;lat=38.46891848031665;from=01-01;to=12-31;index=NDVI;rgb=NIR%2FRED%2FGREEN;chipwidth=1;"), "landsat_chips")</f>
        <v>landsat_chips</v>
      </c>
      <c r="I199" s="4" t="str">
        <f>HYPERLINK(CONCATENATE("https://livingatlas.arcgis.com/wayback/#ext=-92.22103073225065,38.46991848031665,-92.21903073225064,38.467918480316655"), "wayback")</f>
        <v>wayback</v>
      </c>
      <c r="J199" s="9" t="s">
        <v>19</v>
      </c>
      <c r="L199" s="9" t="s">
        <v>15</v>
      </c>
    </row>
    <row r="200" spans="1:12">
      <c r="A200" s="1" t="s">
        <v>45</v>
      </c>
      <c r="B200" s="1">
        <v>199</v>
      </c>
      <c r="C200" s="1">
        <v>2019</v>
      </c>
      <c r="D200" s="1">
        <v>2020</v>
      </c>
      <c r="E200" s="1">
        <v>44.436499735230917</v>
      </c>
      <c r="F200" s="1">
        <v>-109.21362902834829</v>
      </c>
      <c r="G200" s="4" t="str">
        <f>HYPERLINK(CONCATENATE("https://ee-faluhong.projects.earthengine.app/view/isp-ts-evaluation#id=199 2019-&gt;2020;lat=44.43649973523092;lon=-109.2136290283483;year=2019;bf=7;level=18;"), "landsat_time_series")</f>
        <v>landsat_time_series</v>
      </c>
      <c r="H200" s="4" t="str">
        <f>HYPERLINK(CONCATENATE("https://jstnbraaten.users.earthengine.app/view/landsat-timeseries-explorer#run=true;lon=-109.2136290283483;lat=44.43649973523092;from=01-01;to=12-31;index=NDVI;rgb=NIR%2FRED%2FGREEN;chipwidth=1;"), "landsat_chips")</f>
        <v>landsat_chips</v>
      </c>
      <c r="I200" s="4" t="str">
        <f>HYPERLINK(CONCATENATE("https://livingatlas.arcgis.com/wayback/#ext=-109.2146290283483,44.437499735230915,-109.21262902834829,44.43549973523092"), "wayback")</f>
        <v>wayback</v>
      </c>
      <c r="J200" s="9" t="s">
        <v>19</v>
      </c>
      <c r="L200" s="9" t="s">
        <v>15</v>
      </c>
    </row>
    <row r="201" spans="1:12">
      <c r="A201" s="1" t="s">
        <v>45</v>
      </c>
      <c r="B201" s="1">
        <v>200</v>
      </c>
      <c r="C201" s="1">
        <v>2013</v>
      </c>
      <c r="D201" s="1">
        <v>2014</v>
      </c>
      <c r="E201" s="1">
        <v>38.381910972990113</v>
      </c>
      <c r="F201" s="1">
        <v>-81.787625901489164</v>
      </c>
      <c r="G201" s="4" t="str">
        <f>HYPERLINK(CONCATENATE("https://ee-faluhong.projects.earthengine.app/view/isp-ts-evaluation#id=200 2013-&gt;2014;lat=38.38191097299011;lon=-81.78762590148916;year=2013;bf=7;level=18;"), "landsat_time_series")</f>
        <v>landsat_time_series</v>
      </c>
      <c r="H201" s="4" t="str">
        <f>HYPERLINK(CONCATENATE("https://jstnbraaten.users.earthengine.app/view/landsat-timeseries-explorer#run=true;lon=-81.78762590148916;lat=38.38191097299011;from=01-01;to=12-31;index=NDVI;rgb=NIR%2FRED%2FGREEN;chipwidth=1;"), "landsat_chips")</f>
        <v>landsat_chips</v>
      </c>
      <c r="I201" s="4" t="str">
        <f>HYPERLINK(CONCATENATE("https://livingatlas.arcgis.com/wayback/#ext=-81.78862590148917,38.38291097299011,-81.78662590148916,38.380910972990115"), "wayback")</f>
        <v>wayback</v>
      </c>
      <c r="J201" s="9" t="s">
        <v>21</v>
      </c>
      <c r="L201" s="9" t="s">
        <v>24</v>
      </c>
    </row>
    <row r="202" spans="1:12">
      <c r="A202" s="1" t="s">
        <v>45</v>
      </c>
      <c r="B202" s="1">
        <v>201</v>
      </c>
      <c r="C202" s="1">
        <v>2011</v>
      </c>
      <c r="D202" s="1">
        <v>2012</v>
      </c>
      <c r="E202" s="1">
        <v>43.31372528612583</v>
      </c>
      <c r="F202" s="1">
        <v>-88.024334928652507</v>
      </c>
      <c r="G202" s="4" t="str">
        <f>HYPERLINK(CONCATENATE("https://ee-faluhong.projects.earthengine.app/view/isp-ts-evaluation#id=201 2011-&gt;2012;lat=43.31372528612583;lon=-88.02433492865251;year=2011;bf=7;level=18;"), "landsat_time_series")</f>
        <v>landsat_time_series</v>
      </c>
      <c r="H202" s="4" t="str">
        <f>HYPERLINK(CONCATENATE("https://jstnbraaten.users.earthengine.app/view/landsat-timeseries-explorer#run=true;lon=-88.02433492865251;lat=43.31372528612583;from=01-01;to=12-31;index=NDVI;rgb=NIR%2FRED%2FGREEN;chipwidth=1;"), "landsat_chips")</f>
        <v>landsat_chips</v>
      </c>
      <c r="I202" s="4" t="str">
        <f>HYPERLINK(CONCATENATE("https://livingatlas.arcgis.com/wayback/#ext=-88.02533492865251,43.31472528612583,-88.0233349286525,43.31272528612583"), "wayback")</f>
        <v>wayback</v>
      </c>
      <c r="J202" s="9" t="s">
        <v>17</v>
      </c>
      <c r="L202" s="9" t="s">
        <v>24</v>
      </c>
    </row>
    <row r="203" spans="1:12">
      <c r="A203" s="1" t="s">
        <v>45</v>
      </c>
      <c r="B203" s="1">
        <v>202</v>
      </c>
      <c r="C203" s="1">
        <v>2018</v>
      </c>
      <c r="D203" s="1">
        <v>2019</v>
      </c>
      <c r="E203" s="1">
        <v>32.380932474805419</v>
      </c>
      <c r="F203" s="1">
        <v>-86.127633113550985</v>
      </c>
      <c r="G203" s="4" t="str">
        <f>HYPERLINK(CONCATENATE("https://ee-faluhong.projects.earthengine.app/view/isp-ts-evaluation#id=202 2018-&gt;2019;lat=32.38093247480542;lon=-86.12763311355098;year=2018;bf=7;level=18;"), "landsat_time_series")</f>
        <v>landsat_time_series</v>
      </c>
      <c r="H203" s="4" t="str">
        <f>HYPERLINK(CONCATENATE("https://jstnbraaten.users.earthengine.app/view/landsat-timeseries-explorer#run=true;lon=-86.12763311355098;lat=32.38093247480542;from=01-01;to=12-31;index=NDVI;rgb=NIR%2FRED%2FGREEN;chipwidth=1;"), "landsat_chips")</f>
        <v>landsat_chips</v>
      </c>
      <c r="I203" s="4" t="str">
        <f>HYPERLINK(CONCATENATE("https://livingatlas.arcgis.com/wayback/#ext=-86.12863311355099,32.38193247480542,-86.12663311355098,32.37993247480542"), "wayback")</f>
        <v>wayback</v>
      </c>
      <c r="J203" s="9" t="s">
        <v>14</v>
      </c>
      <c r="L203" s="9" t="s">
        <v>15</v>
      </c>
    </row>
    <row r="204" spans="1:12">
      <c r="A204" s="1" t="s">
        <v>45</v>
      </c>
      <c r="B204" s="1">
        <v>203</v>
      </c>
      <c r="C204" s="1">
        <v>2008</v>
      </c>
      <c r="D204" s="1">
        <v>2009</v>
      </c>
      <c r="E204" s="1">
        <v>41.671098693281792</v>
      </c>
      <c r="F204" s="1">
        <v>-107.1587324774938</v>
      </c>
      <c r="G204" s="4" t="str">
        <f>HYPERLINK(CONCATENATE("https://ee-faluhong.projects.earthengine.app/view/isp-ts-evaluation#id=203 2008-&gt;2009;lat=41.67109869328179;lon=-107.1587324774938;year=2008;bf=7;level=18;"), "landsat_time_series")</f>
        <v>landsat_time_series</v>
      </c>
      <c r="H204" s="4" t="str">
        <f>HYPERLINK(CONCATENATE("https://jstnbraaten.users.earthengine.app/view/landsat-timeseries-explorer#run=true;lon=-107.1587324774938;lat=41.67109869328179;from=01-01;to=12-31;index=NDVI;rgb=NIR%2FRED%2FGREEN;chipwidth=1;"), "landsat_chips")</f>
        <v>landsat_chips</v>
      </c>
      <c r="I204" s="4" t="str">
        <f>HYPERLINK(CONCATENATE("https://livingatlas.arcgis.com/wayback/#ext=-107.1597324774938,41.67209869328179,-107.1577324774938,41.670098693281794"), "wayback")</f>
        <v>wayback</v>
      </c>
      <c r="J204" s="9" t="s">
        <v>19</v>
      </c>
      <c r="L204" s="9" t="s">
        <v>15</v>
      </c>
    </row>
    <row r="205" spans="1:12">
      <c r="A205" s="1" t="s">
        <v>45</v>
      </c>
      <c r="B205" s="1">
        <v>204</v>
      </c>
      <c r="C205" s="1">
        <v>2001</v>
      </c>
      <c r="D205" s="1">
        <v>2002</v>
      </c>
      <c r="E205" s="1">
        <v>41.535876859633667</v>
      </c>
      <c r="F205" s="1">
        <v>-90.437169391470448</v>
      </c>
      <c r="G205" s="4" t="str">
        <f>HYPERLINK(CONCATENATE("https://ee-faluhong.projects.earthengine.app/view/isp-ts-evaluation#id=204 2001-&gt;2002;lat=41.53587685963367;lon=-90.43716939147045;year=2001;bf=7;level=18;"), "landsat_time_series")</f>
        <v>landsat_time_series</v>
      </c>
      <c r="H205" s="4" t="str">
        <f>HYPERLINK(CONCATENATE("https://jstnbraaten.users.earthengine.app/view/landsat-timeseries-explorer#run=true;lon=-90.43716939147045;lat=41.53587685963367;from=01-01;to=12-31;index=NDVI;rgb=NIR%2FRED%2FGREEN;chipwidth=1;"), "landsat_chips")</f>
        <v>landsat_chips</v>
      </c>
      <c r="I205" s="4" t="str">
        <f>HYPERLINK(CONCATENATE("https://livingatlas.arcgis.com/wayback/#ext=-90.43816939147045,41.536876859633665,-90.43616939147044,41.53487685963367"), "wayback")</f>
        <v>wayback</v>
      </c>
      <c r="J205" s="9" t="s">
        <v>17</v>
      </c>
      <c r="L205" s="9" t="s">
        <v>31</v>
      </c>
    </row>
    <row r="206" spans="1:12">
      <c r="A206" s="1" t="s">
        <v>45</v>
      </c>
      <c r="B206" s="1">
        <v>205</v>
      </c>
      <c r="C206" s="1">
        <v>2002</v>
      </c>
      <c r="D206" s="1">
        <v>2003</v>
      </c>
      <c r="E206" s="1">
        <v>28.857110987223209</v>
      </c>
      <c r="F206" s="1">
        <v>-97.369941938831275</v>
      </c>
      <c r="G206" s="4" t="str">
        <f>HYPERLINK(CONCATENATE("https://ee-faluhong.projects.earthengine.app/view/isp-ts-evaluation#id=205 2002-&gt;2003;lat=28.85711098722321;lon=-97.36994193883127;year=2002;bf=7;level=18;"), "landsat_time_series")</f>
        <v>landsat_time_series</v>
      </c>
      <c r="H206" s="4" t="str">
        <f>HYPERLINK(CONCATENATE("https://jstnbraaten.users.earthengine.app/view/landsat-timeseries-explorer#run=true;lon=-97.36994193883127;lat=28.85711098722321;from=01-01;to=12-31;index=NDVI;rgb=NIR%2FRED%2FGREEN;chipwidth=1;"), "landsat_chips")</f>
        <v>landsat_chips</v>
      </c>
      <c r="I206" s="4" t="str">
        <f>HYPERLINK(CONCATENATE("https://livingatlas.arcgis.com/wayback/#ext=-97.37094193883128,28.85811098722321,-97.36894193883127,28.856110987223207"), "wayback")</f>
        <v>wayback</v>
      </c>
      <c r="J206" s="9" t="s">
        <v>19</v>
      </c>
      <c r="L206" s="9" t="s">
        <v>15</v>
      </c>
    </row>
    <row r="207" spans="1:12">
      <c r="A207" s="1" t="s">
        <v>45</v>
      </c>
      <c r="B207" s="1">
        <v>206</v>
      </c>
      <c r="C207" s="1">
        <v>2005</v>
      </c>
      <c r="D207" s="1">
        <v>2006</v>
      </c>
      <c r="E207" s="1">
        <v>34.725168738005173</v>
      </c>
      <c r="F207" s="1">
        <v>-81.967999402266798</v>
      </c>
      <c r="G207" s="4" t="str">
        <f>HYPERLINK(CONCATENATE("https://ee-faluhong.projects.earthengine.app/view/isp-ts-evaluation#id=206 2005-&gt;2006;lat=34.72516873800517;lon=-81.9679994022668;year=2005;bf=7;level=18;"), "landsat_time_series")</f>
        <v>landsat_time_series</v>
      </c>
      <c r="H207" s="4" t="str">
        <f>HYPERLINK(CONCATENATE("https://jstnbraaten.users.earthengine.app/view/landsat-timeseries-explorer#run=true;lon=-81.9679994022668;lat=34.72516873800517;from=01-01;to=12-31;index=NDVI;rgb=NIR%2FRED%2FGREEN;chipwidth=1;"), "landsat_chips")</f>
        <v>landsat_chips</v>
      </c>
      <c r="I207" s="4" t="str">
        <f>HYPERLINK(CONCATENATE("https://livingatlas.arcgis.com/wayback/#ext=-81.9689994022668,34.72616873800517,-81.9669994022668,34.724168738005176"), "wayback")</f>
        <v>wayback</v>
      </c>
      <c r="J207" s="9" t="s">
        <v>19</v>
      </c>
      <c r="L207" s="9" t="s">
        <v>24</v>
      </c>
    </row>
    <row r="208" spans="1:12">
      <c r="A208" s="1" t="s">
        <v>45</v>
      </c>
      <c r="B208" s="1">
        <v>207</v>
      </c>
      <c r="C208" s="1">
        <v>2010</v>
      </c>
      <c r="D208" s="1">
        <v>2011</v>
      </c>
      <c r="E208" s="1">
        <v>31.07324148232032</v>
      </c>
      <c r="F208" s="1">
        <v>-82.537527513834348</v>
      </c>
      <c r="G208" s="4" t="str">
        <f>HYPERLINK(CONCATENATE("https://ee-faluhong.projects.earthengine.app/view/isp-ts-evaluation#id=207 2010-&gt;2011;lat=31.07324148232032;lon=-82.53752751383435;year=2010;bf=7;level=18;"), "landsat_time_series")</f>
        <v>landsat_time_series</v>
      </c>
      <c r="H208" s="4" t="str">
        <f>HYPERLINK(CONCATENATE("https://jstnbraaten.users.earthengine.app/view/landsat-timeseries-explorer#run=true;lon=-82.53752751383435;lat=31.07324148232032;from=01-01;to=12-31;index=NDVI;rgb=NIR%2FRED%2FGREEN;chipwidth=1;"), "landsat_chips")</f>
        <v>landsat_chips</v>
      </c>
      <c r="I208" s="4" t="str">
        <f>HYPERLINK(CONCATENATE("https://livingatlas.arcgis.com/wayback/#ext=-82.53852751383435,31.07424148232032,-82.53652751383434,31.07224148232032"), "wayback")</f>
        <v>wayback</v>
      </c>
      <c r="J208" s="9" t="s">
        <v>25</v>
      </c>
      <c r="K208" s="9" t="s">
        <v>26</v>
      </c>
      <c r="L208" s="9" t="s">
        <v>31</v>
      </c>
    </row>
    <row r="209" spans="1:13">
      <c r="A209" s="1" t="s">
        <v>45</v>
      </c>
      <c r="B209" s="1">
        <v>208</v>
      </c>
      <c r="C209" s="1">
        <v>2013</v>
      </c>
      <c r="D209" s="1">
        <v>2014</v>
      </c>
      <c r="E209" s="1">
        <v>42.756109877831889</v>
      </c>
      <c r="F209" s="1">
        <v>-104.45373718023789</v>
      </c>
      <c r="G209" s="4" t="str">
        <f>HYPERLINK(CONCATENATE("https://ee-faluhong.projects.earthengine.app/view/isp-ts-evaluation#id=208 2013-&gt;2014;lat=42.75610987783189;lon=-104.4537371802379;year=2013;bf=7;level=18;"), "landsat_time_series")</f>
        <v>landsat_time_series</v>
      </c>
      <c r="H209" s="4" t="str">
        <f>HYPERLINK(CONCATENATE("https://jstnbraaten.users.earthengine.app/view/landsat-timeseries-explorer#run=true;lon=-104.4537371802379;lat=42.75610987783189;from=01-01;to=12-31;index=NDVI;rgb=NIR%2FRED%2FGREEN;chipwidth=1;"), "landsat_chips")</f>
        <v>landsat_chips</v>
      </c>
      <c r="I209" s="4" t="str">
        <f>HYPERLINK(CONCATENATE("https://livingatlas.arcgis.com/wayback/#ext=-104.4547371802379,42.75710987783189,-104.45273718023789,42.75510987783189"), "wayback")</f>
        <v>wayback</v>
      </c>
      <c r="J209" s="9" t="s">
        <v>25</v>
      </c>
      <c r="K209" s="9" t="s">
        <v>26</v>
      </c>
      <c r="L209" s="9" t="s">
        <v>24</v>
      </c>
    </row>
    <row r="210" spans="1:13">
      <c r="A210" s="1" t="s">
        <v>45</v>
      </c>
      <c r="B210" s="1">
        <v>209</v>
      </c>
      <c r="C210" s="1">
        <v>2019</v>
      </c>
      <c r="D210" s="1">
        <v>2020</v>
      </c>
      <c r="E210" s="1">
        <v>33.685784292141108</v>
      </c>
      <c r="F210" s="1">
        <v>-117.9763383270065</v>
      </c>
      <c r="G210" s="4" t="str">
        <f>HYPERLINK(CONCATENATE("https://ee-faluhong.projects.earthengine.app/view/isp-ts-evaluation#id=209 2019-&gt;2020;lat=33.68578429214111;lon=-117.9763383270065;year=2019;bf=7;level=18;"), "landsat_time_series")</f>
        <v>landsat_time_series</v>
      </c>
      <c r="H210" s="4" t="str">
        <f>HYPERLINK(CONCATENATE("https://jstnbraaten.users.earthengine.app/view/landsat-timeseries-explorer#run=true;lon=-117.9763383270065;lat=33.68578429214111;from=01-01;to=12-31;index=NDVI;rgb=NIR%2FRED%2FGREEN;chipwidth=1;"), "landsat_chips")</f>
        <v>landsat_chips</v>
      </c>
      <c r="I210" s="4" t="str">
        <f>HYPERLINK(CONCATENATE("https://livingatlas.arcgis.com/wayback/#ext=-117.9773383270065,33.686784292141105,-117.9753383270065,33.68478429214111"), "wayback")</f>
        <v>wayback</v>
      </c>
      <c r="J210" s="9" t="s">
        <v>17</v>
      </c>
      <c r="L210" s="9" t="s">
        <v>24</v>
      </c>
    </row>
    <row r="211" spans="1:13">
      <c r="A211" s="1" t="s">
        <v>45</v>
      </c>
      <c r="B211" s="1">
        <v>210</v>
      </c>
      <c r="C211" s="1">
        <v>2000</v>
      </c>
      <c r="D211" s="1">
        <v>2001</v>
      </c>
      <c r="E211" s="1">
        <v>41.143082120153061</v>
      </c>
      <c r="F211" s="1">
        <v>-87.860638795737884</v>
      </c>
      <c r="G211" s="4" t="str">
        <f>HYPERLINK(CONCATENATE("https://ee-faluhong.projects.earthengine.app/view/isp-ts-evaluation#id=210 2000-&gt;2001;lat=41.14308212015306;lon=-87.86063879573788;year=2000;bf=7;level=18;"), "landsat_time_series")</f>
        <v>landsat_time_series</v>
      </c>
      <c r="H211" s="4" t="str">
        <f>HYPERLINK(CONCATENATE("https://jstnbraaten.users.earthengine.app/view/landsat-timeseries-explorer#run=true;lon=-87.86063879573788;lat=41.14308212015306;from=01-01;to=12-31;index=NDVI;rgb=NIR%2FRED%2FGREEN;chipwidth=1;"), "landsat_chips")</f>
        <v>landsat_chips</v>
      </c>
      <c r="I211" s="4" t="str">
        <f>HYPERLINK(CONCATENATE("https://livingatlas.arcgis.com/wayback/#ext=-87.86163879573789,41.14408212015306,-87.85963879573788,41.14208212015306"), "wayback")</f>
        <v>wayback</v>
      </c>
      <c r="J211" s="9" t="s">
        <v>25</v>
      </c>
      <c r="K211" s="9" t="s">
        <v>26</v>
      </c>
      <c r="L211" s="9" t="s">
        <v>24</v>
      </c>
    </row>
    <row r="212" spans="1:13">
      <c r="A212" s="1" t="s">
        <v>45</v>
      </c>
      <c r="B212" s="1">
        <v>211</v>
      </c>
      <c r="C212" s="1">
        <v>2018</v>
      </c>
      <c r="D212" s="1">
        <v>2019</v>
      </c>
      <c r="E212" s="1">
        <v>31.092153301517111</v>
      </c>
      <c r="F212" s="1">
        <v>-99.316870160389584</v>
      </c>
      <c r="G212" s="4" t="str">
        <f>HYPERLINK(CONCATENATE("https://ee-faluhong.projects.earthengine.app/view/isp-ts-evaluation#id=211 2018-&gt;2019;lat=31.09215330151711;lon=-99.31687016038958;year=2018;bf=7;level=18;"), "landsat_time_series")</f>
        <v>landsat_time_series</v>
      </c>
      <c r="H212" s="4" t="str">
        <f>HYPERLINK(CONCATENATE("https://jstnbraaten.users.earthengine.app/view/landsat-timeseries-explorer#run=true;lon=-99.31687016038958;lat=31.09215330151711;from=01-01;to=12-31;index=NDVI;rgb=NIR%2FRED%2FGREEN;chipwidth=1;"), "landsat_chips")</f>
        <v>landsat_chips</v>
      </c>
      <c r="I212" s="4" t="str">
        <f>HYPERLINK(CONCATENATE("https://livingatlas.arcgis.com/wayback/#ext=-99.31787016038959,31.093153301517113,-99.31587016038958,31.09115330151711"), "wayback")</f>
        <v>wayback</v>
      </c>
      <c r="J212" s="9" t="s">
        <v>21</v>
      </c>
      <c r="L212" s="9" t="s">
        <v>24</v>
      </c>
    </row>
    <row r="213" spans="1:13">
      <c r="A213" s="1" t="s">
        <v>45</v>
      </c>
      <c r="B213" s="1">
        <v>212</v>
      </c>
      <c r="C213" s="1">
        <v>2018</v>
      </c>
      <c r="D213" s="1">
        <v>2019</v>
      </c>
      <c r="E213" s="1">
        <v>41.500584114164127</v>
      </c>
      <c r="F213" s="1">
        <v>-80.156611771315099</v>
      </c>
      <c r="G213" s="4" t="str">
        <f>HYPERLINK(CONCATENATE("https://ee-faluhong.projects.earthengine.app/view/isp-ts-evaluation#id=212 2018-&gt;2019;lat=41.50058411416413;lon=-80.1566117713151;year=2018;bf=7;level=18;"), "landsat_time_series")</f>
        <v>landsat_time_series</v>
      </c>
      <c r="H213" s="4" t="str">
        <f>HYPERLINK(CONCATENATE("https://jstnbraaten.users.earthengine.app/view/landsat-timeseries-explorer#run=true;lon=-80.1566117713151;lat=41.50058411416413;from=01-01;to=12-31;index=NDVI;rgb=NIR%2FRED%2FGREEN;chipwidth=1;"), "landsat_chips")</f>
        <v>landsat_chips</v>
      </c>
      <c r="I213" s="4" t="str">
        <f>HYPERLINK(CONCATENATE("https://livingatlas.arcgis.com/wayback/#ext=-80.1576117713151,41.501584114164125,-80.1556117713151,41.49958411416413"), "wayback")</f>
        <v>wayback</v>
      </c>
      <c r="J213" s="9" t="s">
        <v>19</v>
      </c>
      <c r="L213" s="9" t="s">
        <v>15</v>
      </c>
    </row>
    <row r="214" spans="1:13">
      <c r="A214" s="1" t="s">
        <v>45</v>
      </c>
      <c r="B214" s="1">
        <v>213</v>
      </c>
      <c r="C214" s="1">
        <v>2019</v>
      </c>
      <c r="D214" s="1">
        <v>2020</v>
      </c>
      <c r="E214" s="1">
        <v>42.919192359378599</v>
      </c>
      <c r="F214" s="1">
        <v>-105.3805119987192</v>
      </c>
      <c r="G214" s="4" t="str">
        <f>HYPERLINK(CONCATENATE("https://ee-faluhong.projects.earthengine.app/view/isp-ts-evaluation#id=213 2019-&gt;2020;lat=42.9191923593786;lon=-105.3805119987192;year=2019;bf=7;level=18;"), "landsat_time_series")</f>
        <v>landsat_time_series</v>
      </c>
      <c r="H214" s="4" t="str">
        <f>HYPERLINK(CONCATENATE("https://jstnbraaten.users.earthengine.app/view/landsat-timeseries-explorer#run=true;lon=-105.3805119987192;lat=42.9191923593786;from=01-01;to=12-31;index=NDVI;rgb=NIR%2FRED%2FGREEN;chipwidth=1;"), "landsat_chips")</f>
        <v>landsat_chips</v>
      </c>
      <c r="I214" s="4" t="str">
        <f>HYPERLINK(CONCATENATE("https://livingatlas.arcgis.com/wayback/#ext=-105.3815119987192,42.920192359378596,-105.3795119987192,42.9181923593786"), "wayback")</f>
        <v>wayback</v>
      </c>
      <c r="J214" s="9" t="s">
        <v>19</v>
      </c>
      <c r="L214" s="9" t="s">
        <v>15</v>
      </c>
    </row>
    <row r="215" spans="1:13">
      <c r="A215" s="1" t="s">
        <v>45</v>
      </c>
      <c r="B215" s="1">
        <v>214</v>
      </c>
      <c r="C215" s="1">
        <v>2000</v>
      </c>
      <c r="D215" s="1">
        <v>2001</v>
      </c>
      <c r="E215" s="1">
        <v>39.385471093650239</v>
      </c>
      <c r="F215" s="1">
        <v>-80.346743206420939</v>
      </c>
      <c r="G215" s="4" t="str">
        <f>HYPERLINK(CONCATENATE("https://ee-faluhong.projects.earthengine.app/view/isp-ts-evaluation#id=214 2000-&gt;2001;lat=39.38547109365024;lon=-80.34674320642094;year=2000;bf=7;level=18;"), "landsat_time_series")</f>
        <v>landsat_time_series</v>
      </c>
      <c r="H215" s="4" t="str">
        <f>HYPERLINK(CONCATENATE("https://jstnbraaten.users.earthengine.app/view/landsat-timeseries-explorer#run=true;lon=-80.34674320642094;lat=39.38547109365024;from=01-01;to=12-31;index=NDVI;rgb=NIR%2FRED%2FGREEN;chipwidth=1;"), "landsat_chips")</f>
        <v>landsat_chips</v>
      </c>
      <c r="I215" s="4" t="str">
        <f>HYPERLINK(CONCATENATE("https://livingatlas.arcgis.com/wayback/#ext=-80.34774320642094,39.386471093650236,-80.34574320642093,39.38447109365024"), "wayback")</f>
        <v>wayback</v>
      </c>
      <c r="J215" s="9" t="s">
        <v>19</v>
      </c>
      <c r="L215" s="9" t="s">
        <v>15</v>
      </c>
    </row>
    <row r="216" spans="1:13">
      <c r="A216" s="1" t="s">
        <v>45</v>
      </c>
      <c r="B216" s="1">
        <v>215</v>
      </c>
      <c r="C216" s="1">
        <v>2004</v>
      </c>
      <c r="D216" s="1">
        <v>2005</v>
      </c>
      <c r="E216" s="1">
        <v>32.067886212766851</v>
      </c>
      <c r="F216" s="1">
        <v>-103.0275816169052</v>
      </c>
      <c r="G216" s="4" t="str">
        <f>HYPERLINK(CONCATENATE("https://ee-faluhong.projects.earthengine.app/view/isp-ts-evaluation#id=215 2004-&gt;2005;lat=32.06788621276685;lon=-103.0275816169052;year=2004;bf=7;level=18;"), "landsat_time_series")</f>
        <v>landsat_time_series</v>
      </c>
      <c r="H216" s="4" t="str">
        <f>HYPERLINK(CONCATENATE("https://jstnbraaten.users.earthengine.app/view/landsat-timeseries-explorer#run=true;lon=-103.0275816169052;lat=32.06788621276685;from=01-01;to=12-31;index=NDVI;rgb=NIR%2FRED%2FGREEN;chipwidth=1;"), "landsat_chips")</f>
        <v>landsat_chips</v>
      </c>
      <c r="I216" s="4" t="str">
        <f>HYPERLINK(CONCATENATE("https://livingatlas.arcgis.com/wayback/#ext=-103.0285816169052,32.06888621276685,-103.02658161690519,32.06688621276685"), "wayback")</f>
        <v>wayback</v>
      </c>
      <c r="J216" s="9" t="s">
        <v>19</v>
      </c>
      <c r="L216" s="9" t="s">
        <v>15</v>
      </c>
    </row>
    <row r="217" spans="1:13">
      <c r="A217" s="1" t="s">
        <v>45</v>
      </c>
      <c r="B217" s="1">
        <v>216</v>
      </c>
      <c r="C217" s="1">
        <v>2002</v>
      </c>
      <c r="D217" s="1">
        <v>2003</v>
      </c>
      <c r="E217" s="1">
        <v>33.398051904053098</v>
      </c>
      <c r="F217" s="1">
        <v>-111.7157671119585</v>
      </c>
      <c r="G217" s="4" t="str">
        <f>HYPERLINK(CONCATENATE("https://ee-faluhong.projects.earthengine.app/view/isp-ts-evaluation#id=216 2002-&gt;2003;lat=33.3980519040531;lon=-111.7157671119585;year=2002;bf=7;level=18;"), "landsat_time_series")</f>
        <v>landsat_time_series</v>
      </c>
      <c r="H217" s="4" t="str">
        <f>HYPERLINK(CONCATENATE("https://jstnbraaten.users.earthengine.app/view/landsat-timeseries-explorer#run=true;lon=-111.7157671119585;lat=33.3980519040531;from=01-01;to=12-31;index=NDVI;rgb=NIR%2FRED%2FGREEN;chipwidth=1;"), "landsat_chips")</f>
        <v>landsat_chips</v>
      </c>
      <c r="I217" s="4" t="str">
        <f>HYPERLINK(CONCATENATE("https://livingatlas.arcgis.com/wayback/#ext=-111.7167671119585,33.399051904053096,-111.7147671119585,33.3970519040531"), "wayback")</f>
        <v>wayback</v>
      </c>
      <c r="J217" s="9" t="s">
        <v>21</v>
      </c>
      <c r="L217" s="9" t="s">
        <v>15</v>
      </c>
    </row>
    <row r="218" spans="1:13">
      <c r="A218" s="1" t="s">
        <v>45</v>
      </c>
      <c r="B218" s="1">
        <v>217</v>
      </c>
      <c r="C218" s="1">
        <v>2010</v>
      </c>
      <c r="D218" s="1">
        <v>2011</v>
      </c>
      <c r="E218" s="1">
        <v>41.750614859849229</v>
      </c>
      <c r="F218" s="1">
        <v>-85.815890981947831</v>
      </c>
      <c r="G218" s="4" t="str">
        <f>HYPERLINK(CONCATENATE("https://ee-faluhong.projects.earthengine.app/view/isp-ts-evaluation#id=217 2010-&gt;2011;lat=41.75061485984923;lon=-85.81589098194783;year=2010;bf=7;level=18;"), "landsat_time_series")</f>
        <v>landsat_time_series</v>
      </c>
      <c r="H218" s="4" t="str">
        <f>HYPERLINK(CONCATENATE("https://jstnbraaten.users.earthengine.app/view/landsat-timeseries-explorer#run=true;lon=-85.81589098194783;lat=41.75061485984923;from=01-01;to=12-31;index=NDVI;rgb=NIR%2FRED%2FGREEN;chipwidth=1;"), "landsat_chips")</f>
        <v>landsat_chips</v>
      </c>
      <c r="I218" s="4" t="str">
        <f>HYPERLINK(CONCATENATE("https://livingatlas.arcgis.com/wayback/#ext=-85.81689098194784,41.75161485984923,-85.81489098194783,41.74961485984923"), "wayback")</f>
        <v>wayback</v>
      </c>
      <c r="J218" s="9" t="s">
        <v>17</v>
      </c>
      <c r="L218" s="9" t="s">
        <v>24</v>
      </c>
    </row>
    <row r="219" spans="1:13">
      <c r="A219" s="1" t="s">
        <v>45</v>
      </c>
      <c r="B219" s="1">
        <v>218</v>
      </c>
      <c r="C219" s="1">
        <v>2019</v>
      </c>
      <c r="D219" s="1">
        <v>2020</v>
      </c>
      <c r="E219" s="1">
        <v>30.380175354818771</v>
      </c>
      <c r="F219" s="1">
        <v>-88.654874031742381</v>
      </c>
      <c r="G219" s="4" t="str">
        <f>HYPERLINK(CONCATENATE("https://ee-faluhong.projects.earthengine.app/view/isp-ts-evaluation#id=218 2019-&gt;2020;lat=30.38017535481877;lon=-88.65487403174238;year=2019;bf=7;level=18;"), "landsat_time_series")</f>
        <v>landsat_time_series</v>
      </c>
      <c r="H219" s="4" t="str">
        <f>HYPERLINK(CONCATENATE("https://jstnbraaten.users.earthengine.app/view/landsat-timeseries-explorer#run=true;lon=-88.65487403174238;lat=30.38017535481877;from=01-01;to=12-31;index=NDVI;rgb=NIR%2FRED%2FGREEN;chipwidth=1;"), "landsat_chips")</f>
        <v>landsat_chips</v>
      </c>
      <c r="I219" s="4" t="str">
        <f>HYPERLINK(CONCATENATE("https://livingatlas.arcgis.com/wayback/#ext=-88.65587403174239,30.381175354818772,-88.65387403174238,30.37917535481877"), "wayback")</f>
        <v>wayback</v>
      </c>
      <c r="J219" s="9" t="s">
        <v>25</v>
      </c>
      <c r="K219" s="9" t="s">
        <v>26</v>
      </c>
      <c r="L219" s="10" t="s">
        <v>24</v>
      </c>
      <c r="M219" s="9" t="s">
        <v>64</v>
      </c>
    </row>
    <row r="220" spans="1:13">
      <c r="A220" s="1" t="s">
        <v>45</v>
      </c>
      <c r="B220" s="1">
        <v>219</v>
      </c>
      <c r="C220" s="1">
        <v>2007</v>
      </c>
      <c r="D220" s="1">
        <v>2008</v>
      </c>
      <c r="E220" s="1">
        <v>38.183987253823823</v>
      </c>
      <c r="F220" s="1">
        <v>-120.9700912470891</v>
      </c>
      <c r="G220" s="4" t="str">
        <f>HYPERLINK(CONCATENATE("https://ee-faluhong.projects.earthengine.app/view/isp-ts-evaluation#id=219 2007-&gt;2008;lat=38.18398725382382;lon=-120.9700912470891;year=2007;bf=7;level=18;"), "landsat_time_series")</f>
        <v>landsat_time_series</v>
      </c>
      <c r="H220" s="4" t="str">
        <f>HYPERLINK(CONCATENATE("https://jstnbraaten.users.earthengine.app/view/landsat-timeseries-explorer#run=true;lon=-120.9700912470891;lat=38.18398725382382;from=01-01;to=12-31;index=NDVI;rgb=NIR%2FRED%2FGREEN;chipwidth=1;"), "landsat_chips")</f>
        <v>landsat_chips</v>
      </c>
      <c r="I220" s="4" t="str">
        <f>HYPERLINK(CONCATENATE("https://livingatlas.arcgis.com/wayback/#ext=-120.9710912470891,38.18498725382382,-120.9690912470891,38.182987253823825"), "wayback")</f>
        <v>wayback</v>
      </c>
      <c r="J220" s="9" t="s">
        <v>17</v>
      </c>
      <c r="L220" s="9" t="s">
        <v>24</v>
      </c>
    </row>
    <row r="221" spans="1:13">
      <c r="A221" s="1" t="s">
        <v>45</v>
      </c>
      <c r="B221" s="1">
        <v>220</v>
      </c>
      <c r="C221" s="1">
        <v>2018</v>
      </c>
      <c r="D221" s="1">
        <v>2019</v>
      </c>
      <c r="E221" s="1">
        <v>39.954693356116209</v>
      </c>
      <c r="F221" s="1">
        <v>-116.80612881185471</v>
      </c>
      <c r="G221" s="4" t="str">
        <f>HYPERLINK(CONCATENATE("https://ee-faluhong.projects.earthengine.app/view/isp-ts-evaluation#id=220 2018-&gt;2019;lat=39.95469335611621;lon=-116.8061288118547;year=2018;bf=7;level=18;"), "landsat_time_series")</f>
        <v>landsat_time_series</v>
      </c>
      <c r="H221" s="4" t="str">
        <f>HYPERLINK(CONCATENATE("https://jstnbraaten.users.earthengine.app/view/landsat-timeseries-explorer#run=true;lon=-116.8061288118547;lat=39.95469335611621;from=01-01;to=12-31;index=NDVI;rgb=NIR%2FRED%2FGREEN;chipwidth=1;"), "landsat_chips")</f>
        <v>landsat_chips</v>
      </c>
      <c r="I221" s="4" t="str">
        <f>HYPERLINK(CONCATENATE("https://livingatlas.arcgis.com/wayback/#ext=-116.80712881185471,39.95569335611621,-116.8051288118547,39.95369335611621"), "wayback")</f>
        <v>wayback</v>
      </c>
      <c r="J221" s="9" t="s">
        <v>19</v>
      </c>
      <c r="L221" s="9" t="s">
        <v>15</v>
      </c>
    </row>
    <row r="222" spans="1:13">
      <c r="A222" s="1" t="s">
        <v>45</v>
      </c>
      <c r="B222" s="1">
        <v>221</v>
      </c>
      <c r="C222" s="1">
        <v>2007</v>
      </c>
      <c r="D222" s="1">
        <v>2008</v>
      </c>
      <c r="E222" s="1">
        <v>25.786545205790269</v>
      </c>
      <c r="F222" s="1">
        <v>-80.382460633441767</v>
      </c>
      <c r="G222" s="4" t="str">
        <f>HYPERLINK(CONCATENATE("https://ee-faluhong.projects.earthengine.app/view/isp-ts-evaluation#id=221 2007-&gt;2008;lat=25.78654520579027;lon=-80.38246063344177;year=2007;bf=7;level=18;"), "landsat_time_series")</f>
        <v>landsat_time_series</v>
      </c>
      <c r="H222" s="4" t="str">
        <f>HYPERLINK(CONCATENATE("https://jstnbraaten.users.earthengine.app/view/landsat-timeseries-explorer#run=true;lon=-80.38246063344177;lat=25.78654520579027;from=01-01;to=12-31;index=NDVI;rgb=NIR%2FRED%2FGREEN;chipwidth=1;"), "landsat_chips")</f>
        <v>landsat_chips</v>
      </c>
      <c r="I222" s="4" t="str">
        <f>HYPERLINK(CONCATENATE("https://livingatlas.arcgis.com/wayback/#ext=-80.38346063344177,25.78754520579027,-80.38146063344176,25.785545205790267"), "wayback")</f>
        <v>wayback</v>
      </c>
      <c r="J222" s="9" t="s">
        <v>25</v>
      </c>
      <c r="K222" s="9" t="s">
        <v>26</v>
      </c>
      <c r="L222" s="9" t="s">
        <v>31</v>
      </c>
    </row>
    <row r="223" spans="1:13">
      <c r="A223" s="1" t="s">
        <v>45</v>
      </c>
      <c r="B223" s="1">
        <v>222</v>
      </c>
      <c r="C223" s="1">
        <v>2012</v>
      </c>
      <c r="D223" s="1">
        <v>2013</v>
      </c>
      <c r="E223" s="1">
        <v>43.184338449360268</v>
      </c>
      <c r="F223" s="1">
        <v>-89.77396065476816</v>
      </c>
      <c r="G223" s="4" t="str">
        <f>HYPERLINK(CONCATENATE("https://ee-faluhong.projects.earthengine.app/view/isp-ts-evaluation#id=222 2012-&gt;2013;lat=43.18433844936027;lon=-89.77396065476816;year=2012;bf=7;level=18;"), "landsat_time_series")</f>
        <v>landsat_time_series</v>
      </c>
      <c r="H223" s="4" t="str">
        <f>HYPERLINK(CONCATENATE("https://jstnbraaten.users.earthengine.app/view/landsat-timeseries-explorer#run=true;lon=-89.77396065476816;lat=43.18433844936027;from=01-01;to=12-31;index=NDVI;rgb=NIR%2FRED%2FGREEN;chipwidth=1;"), "landsat_chips")</f>
        <v>landsat_chips</v>
      </c>
      <c r="I223" s="4" t="str">
        <f>HYPERLINK(CONCATENATE("https://livingatlas.arcgis.com/wayback/#ext=-89.77496065476817,43.185338449360266,-89.77296065476816,43.18333844936027"), "wayback")</f>
        <v>wayback</v>
      </c>
      <c r="J223" s="9" t="s">
        <v>17</v>
      </c>
      <c r="L223" s="9" t="s">
        <v>24</v>
      </c>
    </row>
    <row r="224" spans="1:13">
      <c r="A224" s="1" t="s">
        <v>45</v>
      </c>
      <c r="B224" s="1">
        <v>223</v>
      </c>
      <c r="C224" s="1">
        <v>2008</v>
      </c>
      <c r="D224" s="1">
        <v>2009</v>
      </c>
      <c r="E224" s="1">
        <v>39.834127902320013</v>
      </c>
      <c r="F224" s="1">
        <v>-86.01301326663463</v>
      </c>
      <c r="G224" s="4" t="str">
        <f>HYPERLINK(CONCATENATE("https://ee-faluhong.projects.earthengine.app/view/isp-ts-evaluation#id=223 2008-&gt;2009;lat=39.83412790232001;lon=-86.01301326663463;year=2008;bf=7;level=18;"), "landsat_time_series")</f>
        <v>landsat_time_series</v>
      </c>
      <c r="H224" s="4" t="str">
        <f>HYPERLINK(CONCATENATE("https://jstnbraaten.users.earthengine.app/view/landsat-timeseries-explorer#run=true;lon=-86.01301326663463;lat=39.83412790232001;from=01-01;to=12-31;index=NDVI;rgb=NIR%2FRED%2FGREEN;chipwidth=1;"), "landsat_chips")</f>
        <v>landsat_chips</v>
      </c>
      <c r="I224" s="4" t="str">
        <f>HYPERLINK(CONCATENATE("https://livingatlas.arcgis.com/wayback/#ext=-86.01401326663463,39.83512790232001,-86.01201326663463,39.833127902320015"), "wayback")</f>
        <v>wayback</v>
      </c>
      <c r="J224" s="9" t="s">
        <v>17</v>
      </c>
      <c r="L224" s="9" t="s">
        <v>24</v>
      </c>
      <c r="M224" s="9" t="s">
        <v>65</v>
      </c>
    </row>
    <row r="225" spans="1:13">
      <c r="A225" s="1" t="s">
        <v>45</v>
      </c>
      <c r="B225" s="1">
        <v>224</v>
      </c>
      <c r="C225" s="1">
        <v>2018</v>
      </c>
      <c r="D225" s="1">
        <v>2019</v>
      </c>
      <c r="E225" s="1">
        <v>43.535591687401052</v>
      </c>
      <c r="F225" s="1">
        <v>-116.6790531712451</v>
      </c>
      <c r="G225" s="4" t="str">
        <f>HYPERLINK(CONCATENATE("https://ee-faluhong.projects.earthengine.app/view/isp-ts-evaluation#id=224 2018-&gt;2019;lat=43.53559168740105;lon=-116.6790531712451;year=2018;bf=7;level=18;"), "landsat_time_series")</f>
        <v>landsat_time_series</v>
      </c>
      <c r="H225" s="4" t="str">
        <f>HYPERLINK(CONCATENATE("https://jstnbraaten.users.earthengine.app/view/landsat-timeseries-explorer#run=true;lon=-116.6790531712451;lat=43.53559168740105;from=01-01;to=12-31;index=NDVI;rgb=NIR%2FRED%2FGREEN;chipwidth=1;"), "landsat_chips")</f>
        <v>landsat_chips</v>
      </c>
      <c r="I225" s="4" t="str">
        <f>HYPERLINK(CONCATENATE("https://livingatlas.arcgis.com/wayback/#ext=-116.6800531712451,43.53659168740105,-116.6780531712451,43.534591687401054"), "wayback")</f>
        <v>wayback</v>
      </c>
      <c r="J225" s="9" t="s">
        <v>17</v>
      </c>
      <c r="L225" s="9" t="s">
        <v>24</v>
      </c>
      <c r="M225" s="9" t="s">
        <v>66</v>
      </c>
    </row>
    <row r="226" spans="1:13">
      <c r="A226" s="1" t="s">
        <v>45</v>
      </c>
      <c r="B226" s="1">
        <v>225</v>
      </c>
      <c r="C226" s="1">
        <v>2000</v>
      </c>
      <c r="D226" s="1">
        <v>2001</v>
      </c>
      <c r="E226" s="1">
        <v>35.789779897829057</v>
      </c>
      <c r="F226" s="1">
        <v>-90.727110239220934</v>
      </c>
      <c r="G226" s="4" t="str">
        <f>HYPERLINK(CONCATENATE("https://ee-faluhong.projects.earthengine.app/view/isp-ts-evaluation#id=225 2000-&gt;2001;lat=35.78977989782906;lon=-90.72711023922093;year=2000;bf=7;level=18;"), "landsat_time_series")</f>
        <v>landsat_time_series</v>
      </c>
      <c r="H226" s="4" t="str">
        <f>HYPERLINK(CONCATENATE("https://jstnbraaten.users.earthengine.app/view/landsat-timeseries-explorer#run=true;lon=-90.72711023922093;lat=35.78977989782906;from=01-01;to=12-31;index=NDVI;rgb=NIR%2FRED%2FGREEN;chipwidth=1;"), "landsat_chips")</f>
        <v>landsat_chips</v>
      </c>
      <c r="I226" s="4" t="str">
        <f>HYPERLINK(CONCATENATE("https://livingatlas.arcgis.com/wayback/#ext=-90.72811023922094,35.790779897829054,-90.72611023922093,35.78877989782906"), "wayback")</f>
        <v>wayback</v>
      </c>
      <c r="J226" s="9" t="s">
        <v>14</v>
      </c>
      <c r="L226" s="9" t="s">
        <v>15</v>
      </c>
    </row>
    <row r="227" spans="1:13">
      <c r="A227" s="1" t="s">
        <v>45</v>
      </c>
      <c r="B227" s="1">
        <v>226</v>
      </c>
      <c r="C227" s="1">
        <v>2011</v>
      </c>
      <c r="D227" s="1">
        <v>2012</v>
      </c>
      <c r="E227" s="1">
        <v>42.344154071068942</v>
      </c>
      <c r="F227" s="1">
        <v>-103.65695742326049</v>
      </c>
      <c r="G227" s="4" t="str">
        <f>HYPERLINK(CONCATENATE("https://ee-faluhong.projects.earthengine.app/view/isp-ts-evaluation#id=226 2011-&gt;2012;lat=42.34415407106894;lon=-103.6569574232605;year=2011;bf=7;level=18;"), "landsat_time_series")</f>
        <v>landsat_time_series</v>
      </c>
      <c r="H227" s="4" t="str">
        <f>HYPERLINK(CONCATENATE("https://jstnbraaten.users.earthengine.app/view/landsat-timeseries-explorer#run=true;lon=-103.6569574232605;lat=42.34415407106894;from=01-01;to=12-31;index=NDVI;rgb=NIR%2FRED%2FGREEN;chipwidth=1;"), "landsat_chips")</f>
        <v>landsat_chips</v>
      </c>
      <c r="I227" s="4" t="str">
        <f>HYPERLINK(CONCATENATE("https://livingatlas.arcgis.com/wayback/#ext=-103.6579574232605,42.34515407106894,-103.65595742326049,42.343154071068945"), "wayback")</f>
        <v>wayback</v>
      </c>
      <c r="J227" s="9" t="s">
        <v>19</v>
      </c>
      <c r="L227" s="9" t="s">
        <v>15</v>
      </c>
    </row>
    <row r="228" spans="1:13">
      <c r="A228" s="1" t="s">
        <v>45</v>
      </c>
      <c r="B228" s="1">
        <v>227</v>
      </c>
      <c r="C228" s="1">
        <v>2014</v>
      </c>
      <c r="D228" s="1">
        <v>2015</v>
      </c>
      <c r="E228" s="1">
        <v>38.978334742871013</v>
      </c>
      <c r="F228" s="1">
        <v>-94.447629998227541</v>
      </c>
      <c r="G228" s="4" t="str">
        <f>HYPERLINK(CONCATENATE("https://ee-faluhong.projects.earthengine.app/view/isp-ts-evaluation#id=227 2014-&gt;2015;lat=38.97833474287101;lon=-94.44762999822754;year=2014;bf=7;level=18;"), "landsat_time_series")</f>
        <v>landsat_time_series</v>
      </c>
      <c r="H228" s="4" t="str">
        <f>HYPERLINK(CONCATENATE("https://jstnbraaten.users.earthengine.app/view/landsat-timeseries-explorer#run=true;lon=-94.44762999822754;lat=38.97833474287101;from=01-01;to=12-31;index=NDVI;rgb=NIR%2FRED%2FGREEN;chipwidth=1;"), "landsat_chips")</f>
        <v>landsat_chips</v>
      </c>
      <c r="I228" s="4" t="str">
        <f>HYPERLINK(CONCATENATE("https://livingatlas.arcgis.com/wayback/#ext=-94.44862999822755,38.97933474287101,-94.44662999822754,38.977334742871015"), "wayback")</f>
        <v>wayback</v>
      </c>
      <c r="J228" s="9" t="s">
        <v>25</v>
      </c>
      <c r="K228" s="9" t="s">
        <v>26</v>
      </c>
      <c r="L228" s="9" t="s">
        <v>15</v>
      </c>
      <c r="M228" s="9" t="s">
        <v>65</v>
      </c>
    </row>
    <row r="229" spans="1:13">
      <c r="A229" s="1" t="s">
        <v>45</v>
      </c>
      <c r="B229" s="1">
        <v>228</v>
      </c>
      <c r="C229" s="1">
        <v>2001</v>
      </c>
      <c r="D229" s="1">
        <v>2002</v>
      </c>
      <c r="E229" s="1">
        <v>48.63102178385865</v>
      </c>
      <c r="F229" s="1">
        <v>-110.712112199998</v>
      </c>
      <c r="G229" s="4" t="str">
        <f>HYPERLINK(CONCATENATE("https://ee-faluhong.projects.earthengine.app/view/isp-ts-evaluation#id=228 2001-&gt;2002;lat=48.63102178385865;lon=-110.712112199998;year=2001;bf=7;level=18;"), "landsat_time_series")</f>
        <v>landsat_time_series</v>
      </c>
      <c r="H229" s="4" t="str">
        <f>HYPERLINK(CONCATENATE("https://jstnbraaten.users.earthengine.app/view/landsat-timeseries-explorer#run=true;lon=-110.712112199998;lat=48.63102178385865;from=01-01;to=12-31;index=NDVI;rgb=NIR%2FRED%2FGREEN;chipwidth=1;"), "landsat_chips")</f>
        <v>landsat_chips</v>
      </c>
      <c r="I229" s="4" t="str">
        <f>HYPERLINK(CONCATENATE("https://livingatlas.arcgis.com/wayback/#ext=-110.71311219999801,48.63202178385865,-110.711112199998,48.63002178385865"), "wayback")</f>
        <v>wayback</v>
      </c>
      <c r="J229" s="9" t="s">
        <v>19</v>
      </c>
      <c r="L229" s="9" t="s">
        <v>15</v>
      </c>
    </row>
    <row r="230" spans="1:13">
      <c r="A230" s="1" t="s">
        <v>45</v>
      </c>
      <c r="B230" s="1">
        <v>229</v>
      </c>
      <c r="C230" s="1">
        <v>2007</v>
      </c>
      <c r="D230" s="1">
        <v>2008</v>
      </c>
      <c r="E230" s="1">
        <v>30.11583487926789</v>
      </c>
      <c r="F230" s="1">
        <v>-93.747470432192969</v>
      </c>
      <c r="G230" s="4" t="str">
        <f>HYPERLINK(CONCATENATE("https://ee-faluhong.projects.earthengine.app/view/isp-ts-evaluation#id=229 2007-&gt;2008;lat=30.11583487926789;lon=-93.74747043219297;year=2007;bf=7;level=18;"), "landsat_time_series")</f>
        <v>landsat_time_series</v>
      </c>
      <c r="H230" s="4" t="str">
        <f>HYPERLINK(CONCATENATE("https://jstnbraaten.users.earthengine.app/view/landsat-timeseries-explorer#run=true;lon=-93.74747043219297;lat=30.11583487926789;from=01-01;to=12-31;index=NDVI;rgb=NIR%2FRED%2FGREEN;chipwidth=1;"), "landsat_chips")</f>
        <v>landsat_chips</v>
      </c>
      <c r="I230" s="4" t="str">
        <f>HYPERLINK(CONCATENATE("https://livingatlas.arcgis.com/wayback/#ext=-93.74847043219297,30.11683487926789,-93.74647043219296,30.11483487926789"), "wayback")</f>
        <v>wayback</v>
      </c>
      <c r="J230" s="9" t="s">
        <v>25</v>
      </c>
      <c r="K230" s="9" t="s">
        <v>26</v>
      </c>
      <c r="L230" s="9" t="s">
        <v>15</v>
      </c>
      <c r="M230" s="9" t="s">
        <v>67</v>
      </c>
    </row>
    <row r="231" spans="1:13">
      <c r="A231" s="1" t="s">
        <v>45</v>
      </c>
      <c r="B231" s="1">
        <v>230</v>
      </c>
      <c r="C231" s="1">
        <v>2015</v>
      </c>
      <c r="D231" s="1">
        <v>2016</v>
      </c>
      <c r="E231" s="1">
        <v>31.850224960536501</v>
      </c>
      <c r="F231" s="1">
        <v>-105.60399463548301</v>
      </c>
      <c r="G231" s="4" t="str">
        <f>HYPERLINK(CONCATENATE("https://ee-faluhong.projects.earthengine.app/view/isp-ts-evaluation#id=230 2015-&gt;2016;lat=31.8502249605365;lon=-105.603994635483;year=2015;bf=7;level=18;"), "landsat_time_series")</f>
        <v>landsat_time_series</v>
      </c>
      <c r="H231" s="4" t="str">
        <f>HYPERLINK(CONCATENATE("https://jstnbraaten.users.earthengine.app/view/landsat-timeseries-explorer#run=true;lon=-105.603994635483;lat=31.8502249605365;from=01-01;to=12-31;index=NDVI;rgb=NIR%2FRED%2FGREEN;chipwidth=1;"), "landsat_chips")</f>
        <v>landsat_chips</v>
      </c>
      <c r="I231" s="4" t="str">
        <f>HYPERLINK(CONCATENATE("https://livingatlas.arcgis.com/wayback/#ext=-105.60499463548301,31.851224960536502,-105.602994635483,31.8492249605365"), "wayback")</f>
        <v>wayback</v>
      </c>
      <c r="J231" s="9" t="s">
        <v>19</v>
      </c>
      <c r="L231" s="9" t="s">
        <v>15</v>
      </c>
    </row>
    <row r="232" spans="1:13">
      <c r="A232" s="1" t="s">
        <v>45</v>
      </c>
      <c r="B232" s="1">
        <v>231</v>
      </c>
      <c r="C232" s="1">
        <v>2012</v>
      </c>
      <c r="D232" s="1">
        <v>2013</v>
      </c>
      <c r="E232" s="1">
        <v>33.602522421773223</v>
      </c>
      <c r="F232" s="1">
        <v>-81.940482333567658</v>
      </c>
      <c r="G232" s="4" t="str">
        <f>HYPERLINK(CONCATENATE("https://ee-faluhong.projects.earthengine.app/view/isp-ts-evaluation#id=231 2012-&gt;2013;lat=33.60252242177322;lon=-81.94048233356766;year=2012;bf=7;level=18;"), "landsat_time_series")</f>
        <v>landsat_time_series</v>
      </c>
      <c r="H232" s="4" t="str">
        <f>HYPERLINK(CONCATENATE("https://jstnbraaten.users.earthengine.app/view/landsat-timeseries-explorer#run=true;lon=-81.94048233356766;lat=33.60252242177322;from=01-01;to=12-31;index=NDVI;rgb=NIR%2FRED%2FGREEN;chipwidth=1;"), "landsat_chips")</f>
        <v>landsat_chips</v>
      </c>
      <c r="I232" s="4" t="str">
        <f>HYPERLINK(CONCATENATE("https://livingatlas.arcgis.com/wayback/#ext=-81.94148233356766,33.60352242177322,-81.93948233356765,33.601522421773225"), "wayback")</f>
        <v>wayback</v>
      </c>
      <c r="J232" s="9" t="s">
        <v>17</v>
      </c>
      <c r="L232" s="9" t="s">
        <v>24</v>
      </c>
    </row>
    <row r="233" spans="1:13">
      <c r="A233" s="1" t="s">
        <v>45</v>
      </c>
      <c r="B233" s="1">
        <v>232</v>
      </c>
      <c r="C233" s="1">
        <v>2018</v>
      </c>
      <c r="D233" s="1">
        <v>2019</v>
      </c>
      <c r="E233" s="1">
        <v>32.225188077506367</v>
      </c>
      <c r="F233" s="1">
        <v>-101.45414298208691</v>
      </c>
      <c r="G233" s="4" t="str">
        <f>HYPERLINK(CONCATENATE("https://ee-faluhong.projects.earthengine.app/view/isp-ts-evaluation#id=232 2018-&gt;2019;lat=32.22518807750637;lon=-101.4541429820869;year=2018;bf=7;level=18;"), "landsat_time_series")</f>
        <v>landsat_time_series</v>
      </c>
      <c r="H233" s="4" t="str">
        <f>HYPERLINK(CONCATENATE("https://jstnbraaten.users.earthengine.app/view/landsat-timeseries-explorer#run=true;lon=-101.4541429820869;lat=32.22518807750637;from=01-01;to=12-31;index=NDVI;rgb=NIR%2FRED%2FGREEN;chipwidth=1;"), "landsat_chips")</f>
        <v>landsat_chips</v>
      </c>
      <c r="I233" s="4" t="str">
        <f>HYPERLINK(CONCATENATE("https://livingatlas.arcgis.com/wayback/#ext=-101.45514298208691,32.226188077506364,-101.4531429820869,32.22418807750637"), "wayback")</f>
        <v>wayback</v>
      </c>
      <c r="J233" s="9" t="s">
        <v>25</v>
      </c>
      <c r="L233" s="9" t="s">
        <v>24</v>
      </c>
      <c r="M233" s="9" t="s">
        <v>67</v>
      </c>
    </row>
    <row r="234" spans="1:13">
      <c r="A234" s="1" t="s">
        <v>45</v>
      </c>
      <c r="B234" s="1">
        <v>233</v>
      </c>
      <c r="C234" s="1">
        <v>2010</v>
      </c>
      <c r="D234" s="1">
        <v>2011</v>
      </c>
      <c r="E234" s="1">
        <v>41.477757233609012</v>
      </c>
      <c r="F234" s="1">
        <v>-75.265837046491583</v>
      </c>
      <c r="G234" s="4" t="str">
        <f>HYPERLINK(CONCATENATE("https://ee-faluhong.projects.earthengine.app/view/isp-ts-evaluation#id=233 2010-&gt;2011;lat=41.47775723360901;lon=-75.26583704649158;year=2010;bf=7;level=18;"), "landsat_time_series")</f>
        <v>landsat_time_series</v>
      </c>
      <c r="H234" s="4" t="str">
        <f>HYPERLINK(CONCATENATE("https://jstnbraaten.users.earthengine.app/view/landsat-timeseries-explorer#run=true;lon=-75.26583704649158;lat=41.47775723360901;from=01-01;to=12-31;index=NDVI;rgb=NIR%2FRED%2FGREEN;chipwidth=1;"), "landsat_chips")</f>
        <v>landsat_chips</v>
      </c>
      <c r="I234" s="4" t="str">
        <f>HYPERLINK(CONCATENATE("https://livingatlas.arcgis.com/wayback/#ext=-75.26683704649159,41.47875723360901,-75.26483704649158,41.476757233609014"), "wayback")</f>
        <v>wayback</v>
      </c>
      <c r="J234" s="9" t="s">
        <v>19</v>
      </c>
      <c r="L234" s="9" t="s">
        <v>15</v>
      </c>
    </row>
    <row r="235" spans="1:13">
      <c r="A235" s="1" t="s">
        <v>45</v>
      </c>
      <c r="B235" s="1">
        <v>234</v>
      </c>
      <c r="C235" s="1">
        <v>2003</v>
      </c>
      <c r="D235" s="1">
        <v>2004</v>
      </c>
      <c r="E235" s="1">
        <v>40.302922011160852</v>
      </c>
      <c r="F235" s="1">
        <v>-76.84243942515468</v>
      </c>
      <c r="G235" s="4" t="str">
        <f>HYPERLINK(CONCATENATE("https://ee-faluhong.projects.earthengine.app/view/isp-ts-evaluation#id=234 2003-&gt;2004;lat=40.30292201116085;lon=-76.84243942515468;year=2003;bf=7;level=18;"), "landsat_time_series")</f>
        <v>landsat_time_series</v>
      </c>
      <c r="H235" s="4" t="str">
        <f>HYPERLINK(CONCATENATE("https://jstnbraaten.users.earthengine.app/view/landsat-timeseries-explorer#run=true;lon=-76.84243942515468;lat=40.30292201116085;from=01-01;to=12-31;index=NDVI;rgb=NIR%2FRED%2FGREEN;chipwidth=1;"), "landsat_chips")</f>
        <v>landsat_chips</v>
      </c>
      <c r="I235" s="4" t="str">
        <f>HYPERLINK(CONCATENATE("https://livingatlas.arcgis.com/wayback/#ext=-76.84343942515468,40.30392201116085,-76.84143942515468,40.301922011160855"), "wayback")</f>
        <v>wayback</v>
      </c>
      <c r="J235" s="9" t="s">
        <v>14</v>
      </c>
      <c r="L235" s="9" t="s">
        <v>15</v>
      </c>
    </row>
    <row r="236" spans="1:13">
      <c r="A236" s="1" t="s">
        <v>45</v>
      </c>
      <c r="B236" s="1">
        <v>235</v>
      </c>
      <c r="C236" s="1">
        <v>2000</v>
      </c>
      <c r="D236" s="1">
        <v>2001</v>
      </c>
      <c r="E236" s="1">
        <v>40.890513101536378</v>
      </c>
      <c r="F236" s="1">
        <v>-80.612830267127123</v>
      </c>
      <c r="G236" s="4" t="str">
        <f>HYPERLINK(CONCATENATE("https://ee-faluhong.projects.earthengine.app/view/isp-ts-evaluation#id=235 2000-&gt;2001;lat=40.89051310153638;lon=-80.61283026712712;year=2000;bf=7;level=18;"), "landsat_time_series")</f>
        <v>landsat_time_series</v>
      </c>
      <c r="H236" s="4" t="str">
        <f>HYPERLINK(CONCATENATE("https://jstnbraaten.users.earthengine.app/view/landsat-timeseries-explorer#run=true;lon=-80.61283026712712;lat=40.89051310153638;from=01-01;to=12-31;index=NDVI;rgb=NIR%2FRED%2FGREEN;chipwidth=1;"), "landsat_chips")</f>
        <v>landsat_chips</v>
      </c>
      <c r="I236" s="4" t="str">
        <f>HYPERLINK(CONCATENATE("https://livingatlas.arcgis.com/wayback/#ext=-80.61383026712713,40.891513101536376,-80.61183026712712,40.88951310153638"), "wayback")</f>
        <v>wayback</v>
      </c>
      <c r="J236" s="9" t="s">
        <v>34</v>
      </c>
      <c r="L236" s="9" t="s">
        <v>56</v>
      </c>
    </row>
    <row r="237" spans="1:13">
      <c r="A237" s="1" t="s">
        <v>45</v>
      </c>
      <c r="B237" s="1">
        <v>236</v>
      </c>
      <c r="C237" s="1">
        <v>2005</v>
      </c>
      <c r="D237" s="1">
        <v>2006</v>
      </c>
      <c r="E237" s="1">
        <v>28.597191860628929</v>
      </c>
      <c r="F237" s="1">
        <v>-81.380716394718505</v>
      </c>
      <c r="G237" s="4" t="str">
        <f>HYPERLINK(CONCATENATE("https://ee-faluhong.projects.earthengine.app/view/isp-ts-evaluation#id=236 2005-&gt;2006;lat=28.59719186062893;lon=-81.3807163947185;year=2005;bf=7;level=18;"), "landsat_time_series")</f>
        <v>landsat_time_series</v>
      </c>
      <c r="H237" s="4" t="str">
        <f>HYPERLINK(CONCATENATE("https://jstnbraaten.users.earthengine.app/view/landsat-timeseries-explorer#run=true;lon=-81.3807163947185;lat=28.59719186062893;from=01-01;to=12-31;index=NDVI;rgb=NIR%2FRED%2FGREEN;chipwidth=1;"), "landsat_chips")</f>
        <v>landsat_chips</v>
      </c>
      <c r="I237" s="4" t="str">
        <f>HYPERLINK(CONCATENATE("https://livingatlas.arcgis.com/wayback/#ext=-81.38171639471851,28.59819186062893,-81.3797163947185,28.596191860628927"), "wayback")</f>
        <v>wayback</v>
      </c>
      <c r="J237" s="9" t="s">
        <v>21</v>
      </c>
      <c r="L237" s="9" t="s">
        <v>24</v>
      </c>
    </row>
    <row r="238" spans="1:13">
      <c r="A238" s="1" t="s">
        <v>45</v>
      </c>
      <c r="B238" s="1">
        <v>237</v>
      </c>
      <c r="C238" s="1">
        <v>2000</v>
      </c>
      <c r="D238" s="1">
        <v>2001</v>
      </c>
      <c r="E238" s="1">
        <v>27.81596475567676</v>
      </c>
      <c r="F238" s="1">
        <v>-80.472235652972813</v>
      </c>
      <c r="G238" s="4" t="str">
        <f>HYPERLINK(CONCATENATE("https://ee-faluhong.projects.earthengine.app/view/isp-ts-evaluation#id=237 2000-&gt;2001;lat=27.81596475567676;lon=-80.47223565297281;year=2000;bf=7;level=18;"), "landsat_time_series")</f>
        <v>landsat_time_series</v>
      </c>
      <c r="H238" s="4" t="str">
        <f>HYPERLINK(CONCATENATE("https://jstnbraaten.users.earthengine.app/view/landsat-timeseries-explorer#run=true;lon=-80.47223565297281;lat=27.81596475567676;from=01-01;to=12-31;index=NDVI;rgb=NIR%2FRED%2FGREEN;chipwidth=1;"), "landsat_chips")</f>
        <v>landsat_chips</v>
      </c>
      <c r="I238" s="4" t="str">
        <f>HYPERLINK(CONCATENATE("https://livingatlas.arcgis.com/wayback/#ext=-80.47323565297282,27.81696475567676,-80.47123565297281,27.81496475567676"), "wayback")</f>
        <v>wayback</v>
      </c>
      <c r="J238" s="9" t="s">
        <v>25</v>
      </c>
      <c r="L238" s="9" t="s">
        <v>56</v>
      </c>
      <c r="M238" s="9" t="s">
        <v>68</v>
      </c>
    </row>
    <row r="239" spans="1:13">
      <c r="A239" s="1" t="s">
        <v>45</v>
      </c>
      <c r="B239" s="1">
        <v>238</v>
      </c>
      <c r="C239" s="1">
        <v>2013</v>
      </c>
      <c r="D239" s="1">
        <v>2014</v>
      </c>
      <c r="E239" s="1">
        <v>25.9047375380859</v>
      </c>
      <c r="F239" s="1">
        <v>-80.172636524495388</v>
      </c>
      <c r="G239" s="4" t="str">
        <f>HYPERLINK(CONCATENATE("https://ee-faluhong.projects.earthengine.app/view/isp-ts-evaluation#id=238 2013-&gt;2014;lat=25.9047375380859;lon=-80.17263652449539;year=2013;bf=7;level=18;"), "landsat_time_series")</f>
        <v>landsat_time_series</v>
      </c>
      <c r="H239" s="4" t="str">
        <f>HYPERLINK(CONCATENATE("https://jstnbraaten.users.earthengine.app/view/landsat-timeseries-explorer#run=true;lon=-80.17263652449539;lat=25.9047375380859;from=01-01;to=12-31;index=NDVI;rgb=NIR%2FRED%2FGREEN;chipwidth=1;"), "landsat_chips")</f>
        <v>landsat_chips</v>
      </c>
      <c r="I239" s="4" t="str">
        <f>HYPERLINK(CONCATENATE("https://livingatlas.arcgis.com/wayback/#ext=-80.1736365244954,25.9057375380859,-80.17163652449538,25.9037375380859"), "wayback")</f>
        <v>wayback</v>
      </c>
      <c r="J239" s="9" t="s">
        <v>17</v>
      </c>
      <c r="L239" s="9" t="s">
        <v>15</v>
      </c>
    </row>
    <row r="240" spans="1:13">
      <c r="A240" s="1" t="s">
        <v>45</v>
      </c>
      <c r="B240" s="1">
        <v>239</v>
      </c>
      <c r="C240" s="1">
        <v>2006</v>
      </c>
      <c r="D240" s="1">
        <v>2007</v>
      </c>
      <c r="E240" s="1">
        <v>29.889210074873411</v>
      </c>
      <c r="F240" s="1">
        <v>-93.924033356323761</v>
      </c>
      <c r="G240" s="4" t="str">
        <f>HYPERLINK(CONCATENATE("https://ee-faluhong.projects.earthengine.app/view/isp-ts-evaluation#id=239 2006-&gt;2007;lat=29.88921007487341;lon=-93.92403335632376;year=2006;bf=7;level=18;"), "landsat_time_series")</f>
        <v>landsat_time_series</v>
      </c>
      <c r="H240" s="4" t="str">
        <f>HYPERLINK(CONCATENATE("https://jstnbraaten.users.earthengine.app/view/landsat-timeseries-explorer#run=true;lon=-93.92403335632376;lat=29.88921007487341;from=01-01;to=12-31;index=NDVI;rgb=NIR%2FRED%2FGREEN;chipwidth=1;"), "landsat_chips")</f>
        <v>landsat_chips</v>
      </c>
      <c r="I240" s="4" t="str">
        <f>HYPERLINK(CONCATENATE("https://livingatlas.arcgis.com/wayback/#ext=-93.92503335632377,29.890210074873412,-93.92303335632376,29.88821007487341"), "wayback")</f>
        <v>wayback</v>
      </c>
      <c r="J240" s="9" t="s">
        <v>27</v>
      </c>
      <c r="L240" s="9" t="s">
        <v>24</v>
      </c>
      <c r="M240" s="9" t="s">
        <v>69</v>
      </c>
    </row>
    <row r="241" spans="1:13">
      <c r="A241" s="1" t="s">
        <v>45</v>
      </c>
      <c r="B241" s="1">
        <v>240</v>
      </c>
      <c r="C241" s="1">
        <v>2003</v>
      </c>
      <c r="D241" s="1">
        <v>2004</v>
      </c>
      <c r="E241" s="1">
        <v>29.641795909948421</v>
      </c>
      <c r="F241" s="1">
        <v>-81.412123729182156</v>
      </c>
      <c r="G241" s="4" t="str">
        <f>HYPERLINK(CONCATENATE("https://ee-faluhong.projects.earthengine.app/view/isp-ts-evaluation#id=240 2003-&gt;2004;lat=29.64179590994842;lon=-81.41212372918216;year=2003;bf=7;level=18;"), "landsat_time_series")</f>
        <v>landsat_time_series</v>
      </c>
      <c r="H241" s="4" t="str">
        <f>HYPERLINK(CONCATENATE("https://jstnbraaten.users.earthengine.app/view/landsat-timeseries-explorer#run=true;lon=-81.41212372918216;lat=29.64179590994842;from=01-01;to=12-31;index=NDVI;rgb=NIR%2FRED%2FGREEN;chipwidth=1;"), "landsat_chips")</f>
        <v>landsat_chips</v>
      </c>
      <c r="I241" s="4" t="str">
        <f>HYPERLINK(CONCATENATE("https://livingatlas.arcgis.com/wayback/#ext=-81.41312372918216,29.642795909948422,-81.41112372918215,29.64079590994842"), "wayback")</f>
        <v>wayback</v>
      </c>
      <c r="J241" s="9" t="s">
        <v>25</v>
      </c>
      <c r="K241" s="9" t="s">
        <v>26</v>
      </c>
      <c r="L241" s="9" t="s">
        <v>24</v>
      </c>
    </row>
    <row r="242" spans="1:13">
      <c r="A242" s="1" t="s">
        <v>45</v>
      </c>
      <c r="B242" s="1">
        <v>241</v>
      </c>
      <c r="C242" s="1">
        <v>2016</v>
      </c>
      <c r="D242" s="1">
        <v>2017</v>
      </c>
      <c r="E242" s="1">
        <v>36.052445685210607</v>
      </c>
      <c r="F242" s="1">
        <v>-90.981061571500192</v>
      </c>
      <c r="G242" s="4" t="str">
        <f>HYPERLINK(CONCATENATE("https://ee-faluhong.projects.earthengine.app/view/isp-ts-evaluation#id=241 2016-&gt;2017;lat=36.05244568521061;lon=-90.98106157150019;year=2016;bf=7;level=18;"), "landsat_time_series")</f>
        <v>landsat_time_series</v>
      </c>
      <c r="H242" s="4" t="str">
        <f>HYPERLINK(CONCATENATE("https://jstnbraaten.users.earthengine.app/view/landsat-timeseries-explorer#run=true;lon=-90.98106157150019;lat=36.05244568521061;from=01-01;to=12-31;index=NDVI;rgb=NIR%2FRED%2FGREEN;chipwidth=1;"), "landsat_chips")</f>
        <v>landsat_chips</v>
      </c>
      <c r="I242" s="4" t="str">
        <f>HYPERLINK(CONCATENATE("https://livingatlas.arcgis.com/wayback/#ext=-90.9820615715002,36.053445685210605,-90.98006157150019,36.05144568521061"), "wayback")</f>
        <v>wayback</v>
      </c>
      <c r="J242" s="9" t="s">
        <v>25</v>
      </c>
      <c r="K242" s="9" t="s">
        <v>35</v>
      </c>
      <c r="L242" s="9" t="s">
        <v>24</v>
      </c>
      <c r="M242" s="9" t="s">
        <v>70</v>
      </c>
    </row>
    <row r="243" spans="1:13">
      <c r="A243" s="1" t="s">
        <v>45</v>
      </c>
      <c r="B243" s="1">
        <v>242</v>
      </c>
      <c r="C243" s="1">
        <v>2012</v>
      </c>
      <c r="D243" s="1">
        <v>2013</v>
      </c>
      <c r="E243" s="1">
        <v>28.139874605180349</v>
      </c>
      <c r="F243" s="1">
        <v>-96.981752109886003</v>
      </c>
      <c r="G243" s="4" t="str">
        <f>HYPERLINK(CONCATENATE("https://ee-faluhong.projects.earthengine.app/view/isp-ts-evaluation#id=242 2012-&gt;2013;lat=28.13987460518035;lon=-96.981752109886;year=2012;bf=7;level=18;"), "landsat_time_series")</f>
        <v>landsat_time_series</v>
      </c>
      <c r="H243" s="4" t="str">
        <f>HYPERLINK(CONCATENATE("https://jstnbraaten.users.earthengine.app/view/landsat-timeseries-explorer#run=true;lon=-96.981752109886;lat=28.13987460518035;from=01-01;to=12-31;index=NDVI;rgb=NIR%2FRED%2FGREEN;chipwidth=1;"), "landsat_chips")</f>
        <v>landsat_chips</v>
      </c>
      <c r="I243" s="4" t="str">
        <f>HYPERLINK(CONCATENATE("https://livingatlas.arcgis.com/wayback/#ext=-96.98275210988601,28.14087460518035,-96.980752109886,28.138874605180348"), "wayback")</f>
        <v>wayback</v>
      </c>
      <c r="J243" s="9" t="s">
        <v>17</v>
      </c>
      <c r="L243" s="9" t="s">
        <v>15</v>
      </c>
    </row>
    <row r="244" spans="1:13">
      <c r="A244" s="1" t="s">
        <v>45</v>
      </c>
      <c r="B244" s="1">
        <v>243</v>
      </c>
      <c r="C244" s="1">
        <v>2002</v>
      </c>
      <c r="D244" s="1">
        <v>2003</v>
      </c>
      <c r="E244" s="1">
        <v>33.765711974716233</v>
      </c>
      <c r="F244" s="1">
        <v>-91.981376412732459</v>
      </c>
      <c r="G244" s="4" t="str">
        <f>HYPERLINK(CONCATENATE("https://ee-faluhong.projects.earthengine.app/view/isp-ts-evaluation#id=243 2002-&gt;2003;lat=33.76571197471623;lon=-91.98137641273246;year=2002;bf=7;level=18;"), "landsat_time_series")</f>
        <v>landsat_time_series</v>
      </c>
      <c r="H244" s="4" t="str">
        <f>HYPERLINK(CONCATENATE("https://jstnbraaten.users.earthengine.app/view/landsat-timeseries-explorer#run=true;lon=-91.98137641273246;lat=33.76571197471623;from=01-01;to=12-31;index=NDVI;rgb=NIR%2FRED%2FGREEN;chipwidth=1;"), "landsat_chips")</f>
        <v>landsat_chips</v>
      </c>
      <c r="I244" s="4" t="str">
        <f>HYPERLINK(CONCATENATE("https://livingatlas.arcgis.com/wayback/#ext=-91.98237641273246,33.76671197471623,-91.98037641273245,33.764711974716235"), "wayback")</f>
        <v>wayback</v>
      </c>
      <c r="J244" s="9" t="s">
        <v>25</v>
      </c>
      <c r="L244" s="9" t="s">
        <v>56</v>
      </c>
      <c r="M244" s="9" t="s">
        <v>71</v>
      </c>
    </row>
    <row r="245" spans="1:13">
      <c r="A245" s="1" t="s">
        <v>45</v>
      </c>
      <c r="B245" s="1">
        <v>244</v>
      </c>
      <c r="C245" s="1">
        <v>2019</v>
      </c>
      <c r="D245" s="1">
        <v>2020</v>
      </c>
      <c r="E245" s="1">
        <v>33.857623240063162</v>
      </c>
      <c r="F245" s="1">
        <v>-118.1651655977078</v>
      </c>
      <c r="G245" s="4" t="str">
        <f>HYPERLINK(CONCATENATE("https://ee-faluhong.projects.earthengine.app/view/isp-ts-evaluation#id=244 2019-&gt;2020;lat=33.85762324006316;lon=-118.1651655977078;year=2019;bf=7;level=18;"), "landsat_time_series")</f>
        <v>landsat_time_series</v>
      </c>
      <c r="H245" s="4" t="str">
        <f>HYPERLINK(CONCATENATE("https://jstnbraaten.users.earthengine.app/view/landsat-timeseries-explorer#run=true;lon=-118.1651655977078;lat=33.85762324006316;from=01-01;to=12-31;index=NDVI;rgb=NIR%2FRED%2FGREEN;chipwidth=1;"), "landsat_chips")</f>
        <v>landsat_chips</v>
      </c>
      <c r="I245" s="4" t="str">
        <f>HYPERLINK(CONCATENATE("https://livingatlas.arcgis.com/wayback/#ext=-118.1661655977078,33.85862324006316,-118.1641655977078,33.856623240063165"), "wayback")</f>
        <v>wayback</v>
      </c>
      <c r="J245" s="9" t="s">
        <v>17</v>
      </c>
      <c r="L245" s="9" t="s">
        <v>15</v>
      </c>
    </row>
    <row r="246" spans="1:13">
      <c r="A246" s="1" t="s">
        <v>45</v>
      </c>
      <c r="B246" s="1">
        <v>245</v>
      </c>
      <c r="C246" s="1">
        <v>2002</v>
      </c>
      <c r="D246" s="1">
        <v>2003</v>
      </c>
      <c r="E246" s="1">
        <v>26.215015411831111</v>
      </c>
      <c r="F246" s="1">
        <v>-81.779811968887941</v>
      </c>
      <c r="G246" s="4" t="str">
        <f>HYPERLINK(CONCATENATE("https://ee-faluhong.projects.earthengine.app/view/isp-ts-evaluation#id=245 2002-&gt;2003;lat=26.21501541183111;lon=-81.77981196888794;year=2002;bf=7;level=18;"), "landsat_time_series")</f>
        <v>landsat_time_series</v>
      </c>
      <c r="H246" s="4" t="str">
        <f>HYPERLINK(CONCATENATE("https://jstnbraaten.users.earthengine.app/view/landsat-timeseries-explorer#run=true;lon=-81.77981196888794;lat=26.21501541183111;from=01-01;to=12-31;index=NDVI;rgb=NIR%2FRED%2FGREEN;chipwidth=1;"), "landsat_chips")</f>
        <v>landsat_chips</v>
      </c>
      <c r="I246" s="4" t="str">
        <f>HYPERLINK(CONCATENATE("https://livingatlas.arcgis.com/wayback/#ext=-81.78081196888795,26.216015411831112,-81.77881196888794,26.21401541183111"), "wayback")</f>
        <v>wayback</v>
      </c>
      <c r="J246" s="9" t="s">
        <v>44</v>
      </c>
      <c r="L246" s="9" t="s">
        <v>15</v>
      </c>
    </row>
    <row r="247" spans="1:13">
      <c r="A247" s="1" t="s">
        <v>45</v>
      </c>
      <c r="B247" s="1">
        <v>246</v>
      </c>
      <c r="C247" s="1">
        <v>2006</v>
      </c>
      <c r="D247" s="1">
        <v>2007</v>
      </c>
      <c r="E247" s="1">
        <v>35.986478072952231</v>
      </c>
      <c r="F247" s="1">
        <v>-86.726627077927816</v>
      </c>
      <c r="G247" s="4" t="str">
        <f>HYPERLINK(CONCATENATE("https://ee-faluhong.projects.earthengine.app/view/isp-ts-evaluation#id=246 2006-&gt;2007;lat=35.98647807295223;lon=-86.72662707792782;year=2006;bf=7;level=18;"), "landsat_time_series")</f>
        <v>landsat_time_series</v>
      </c>
      <c r="H247" s="4" t="str">
        <f>HYPERLINK(CONCATENATE("https://jstnbraaten.users.earthengine.app/view/landsat-timeseries-explorer#run=true;lon=-86.72662707792782;lat=35.98647807295223;from=01-01;to=12-31;index=NDVI;rgb=NIR%2FRED%2FGREEN;chipwidth=1;"), "landsat_chips")</f>
        <v>landsat_chips</v>
      </c>
      <c r="I247" s="4" t="str">
        <f>HYPERLINK(CONCATENATE("https://livingatlas.arcgis.com/wayback/#ext=-86.72762707792782,35.98747807295223,-86.72562707792781,35.98547807295223"), "wayback")</f>
        <v>wayback</v>
      </c>
      <c r="J247" s="9" t="s">
        <v>14</v>
      </c>
      <c r="L247" s="9" t="s">
        <v>15</v>
      </c>
    </row>
    <row r="248" spans="1:13">
      <c r="A248" s="1" t="s">
        <v>45</v>
      </c>
      <c r="B248" s="1">
        <v>247</v>
      </c>
      <c r="C248" s="1">
        <v>2006</v>
      </c>
      <c r="D248" s="1">
        <v>2007</v>
      </c>
      <c r="E248" s="1">
        <v>37.834199324997734</v>
      </c>
      <c r="F248" s="1">
        <v>-87.738094392876306</v>
      </c>
      <c r="G248" s="4" t="str">
        <f>HYPERLINK(CONCATENATE("https://ee-faluhong.projects.earthengine.app/view/isp-ts-evaluation#id=247 2006-&gt;2007;lat=37.83419932499773;lon=-87.7380943928763;year=2006;bf=7;level=18;"), "landsat_time_series")</f>
        <v>landsat_time_series</v>
      </c>
      <c r="H248" s="4" t="str">
        <f>HYPERLINK(CONCATENATE("https://jstnbraaten.users.earthengine.app/view/landsat-timeseries-explorer#run=true;lon=-87.7380943928763;lat=37.83419932499773;from=01-01;to=12-31;index=NDVI;rgb=NIR%2FRED%2FGREEN;chipwidth=1;"), "landsat_chips")</f>
        <v>landsat_chips</v>
      </c>
      <c r="I248" s="4" t="str">
        <f>HYPERLINK(CONCATENATE("https://livingatlas.arcgis.com/wayback/#ext=-87.73909439287631,37.83519932499773,-87.7370943928763,37.833199324997736"), "wayback")</f>
        <v>wayback</v>
      </c>
      <c r="J248" s="9" t="s">
        <v>17</v>
      </c>
      <c r="L248" s="9" t="s">
        <v>15</v>
      </c>
    </row>
    <row r="249" spans="1:13">
      <c r="A249" s="1" t="s">
        <v>45</v>
      </c>
      <c r="B249" s="1">
        <v>248</v>
      </c>
      <c r="C249" s="1">
        <v>2005</v>
      </c>
      <c r="D249" s="1">
        <v>2006</v>
      </c>
      <c r="E249" s="1">
        <v>35.205731392511623</v>
      </c>
      <c r="F249" s="1">
        <v>-85.505342822149828</v>
      </c>
      <c r="G249" s="4" t="str">
        <f>HYPERLINK(CONCATENATE("https://ee-faluhong.projects.earthengine.app/view/isp-ts-evaluation#id=248 2005-&gt;2006;lat=35.20573139251162;lon=-85.50534282214983;year=2005;bf=7;level=18;"), "landsat_time_series")</f>
        <v>landsat_time_series</v>
      </c>
      <c r="H249" s="4" t="str">
        <f>HYPERLINK(CONCATENATE("https://jstnbraaten.users.earthengine.app/view/landsat-timeseries-explorer#run=true;lon=-85.50534282214983;lat=35.20573139251162;from=01-01;to=12-31;index=NDVI;rgb=NIR%2FRED%2FGREEN;chipwidth=1;"), "landsat_chips")</f>
        <v>landsat_chips</v>
      </c>
      <c r="I249" s="4" t="str">
        <f>HYPERLINK(CONCATENATE("https://livingatlas.arcgis.com/wayback/#ext=-85.50634282214983,35.20673139251162,-85.50434282214982,35.204731392511626"), "wayback")</f>
        <v>wayback</v>
      </c>
      <c r="J249" s="9" t="s">
        <v>14</v>
      </c>
      <c r="L249" s="9" t="s">
        <v>15</v>
      </c>
    </row>
    <row r="250" spans="1:13">
      <c r="A250" s="1" t="s">
        <v>45</v>
      </c>
      <c r="B250" s="1">
        <v>249</v>
      </c>
      <c r="C250" s="1">
        <v>2008</v>
      </c>
      <c r="D250" s="1">
        <v>2009</v>
      </c>
      <c r="E250" s="1">
        <v>29.89667072414694</v>
      </c>
      <c r="F250" s="1">
        <v>-81.831277427842494</v>
      </c>
      <c r="G250" s="4" t="str">
        <f>HYPERLINK(CONCATENATE("https://ee-faluhong.projects.earthengine.app/view/isp-ts-evaluation#id=249 2008-&gt;2009;lat=29.89667072414694;lon=-81.8312774278425;year=2008;bf=7;level=18;"), "landsat_time_series")</f>
        <v>landsat_time_series</v>
      </c>
      <c r="H250" s="4" t="str">
        <f>HYPERLINK(CONCATENATE("https://jstnbraaten.users.earthengine.app/view/landsat-timeseries-explorer#run=true;lon=-81.8312774278425;lat=29.89667072414694;from=01-01;to=12-31;index=NDVI;rgb=NIR%2FRED%2FGREEN;chipwidth=1;"), "landsat_chips")</f>
        <v>landsat_chips</v>
      </c>
      <c r="I250" s="4" t="str">
        <f>HYPERLINK(CONCATENATE("https://livingatlas.arcgis.com/wayback/#ext=-81.8322774278425,29.89767072414694,-81.83027742784249,29.89567072414694"), "wayback")</f>
        <v>wayback</v>
      </c>
      <c r="J250" s="9" t="s">
        <v>19</v>
      </c>
      <c r="L250" s="9" t="s">
        <v>15</v>
      </c>
    </row>
    <row r="251" spans="1:13">
      <c r="A251" s="1" t="s">
        <v>45</v>
      </c>
      <c r="B251" s="1">
        <v>250</v>
      </c>
      <c r="C251" s="1">
        <v>2006</v>
      </c>
      <c r="D251" s="1">
        <v>2007</v>
      </c>
      <c r="E251" s="1">
        <v>40.424989021104807</v>
      </c>
      <c r="F251" s="1">
        <v>-102.2476034389462</v>
      </c>
      <c r="G251" s="4" t="str">
        <f>HYPERLINK(CONCATENATE("https://ee-faluhong.projects.earthengine.app/view/isp-ts-evaluation#id=250 2006-&gt;2007;lat=40.42498902110481;lon=-102.2476034389462;year=2006;bf=7;level=18;"), "landsat_time_series")</f>
        <v>landsat_time_series</v>
      </c>
      <c r="H251" s="4" t="str">
        <f>HYPERLINK(CONCATENATE("https://jstnbraaten.users.earthengine.app/view/landsat-timeseries-explorer#run=true;lon=-102.2476034389462;lat=40.42498902110481;from=01-01;to=12-31;index=NDVI;rgb=NIR%2FRED%2FGREEN;chipwidth=1;"), "landsat_chips")</f>
        <v>landsat_chips</v>
      </c>
      <c r="I251" s="4" t="str">
        <f>HYPERLINK(CONCATENATE("https://livingatlas.arcgis.com/wayback/#ext=-102.2486034389462,40.425989021104805,-102.2466034389462,40.42398902110481"), "wayback")</f>
        <v>wayback</v>
      </c>
      <c r="J251" s="9" t="s">
        <v>19</v>
      </c>
      <c r="L251" s="9" t="s">
        <v>15</v>
      </c>
    </row>
    <row r="252" spans="1:13">
      <c r="A252" s="1" t="s">
        <v>45</v>
      </c>
      <c r="B252" s="1">
        <v>251</v>
      </c>
      <c r="C252" s="1">
        <v>2012</v>
      </c>
      <c r="D252" s="1">
        <v>2013</v>
      </c>
      <c r="E252" s="1">
        <v>41.722059900086052</v>
      </c>
      <c r="F252" s="1">
        <v>-81.926316928267909</v>
      </c>
      <c r="G252" s="4" t="str">
        <f>HYPERLINK(CONCATENATE("https://ee-faluhong.projects.earthengine.app/view/isp-ts-evaluation#id=251 2012-&gt;2013;lat=41.72205990008605;lon=-81.92631692826791;year=2012;bf=7;level=18;"), "landsat_time_series")</f>
        <v>landsat_time_series</v>
      </c>
      <c r="H252" s="4" t="str">
        <f>HYPERLINK(CONCATENATE("https://jstnbraaten.users.earthengine.app/view/landsat-timeseries-explorer#run=true;lon=-81.92631692826791;lat=41.72205990008605;from=01-01;to=12-31;index=NDVI;rgb=NIR%2FRED%2FGREEN;chipwidth=1;"), "landsat_chips")</f>
        <v>landsat_chips</v>
      </c>
      <c r="I252" s="4" t="str">
        <f>HYPERLINK(CONCATENATE("https://livingatlas.arcgis.com/wayback/#ext=-81.92731692826791,41.72305990008605,-81.9253169282679,41.721059900086054"), "wayback")</f>
        <v>wayback</v>
      </c>
      <c r="J252" s="9" t="s">
        <v>19</v>
      </c>
      <c r="L252" s="9" t="s">
        <v>15</v>
      </c>
    </row>
    <row r="253" spans="1:13">
      <c r="A253" s="1" t="s">
        <v>45</v>
      </c>
      <c r="B253" s="1">
        <v>252</v>
      </c>
      <c r="C253" s="1">
        <v>2019</v>
      </c>
      <c r="D253" s="1">
        <v>2020</v>
      </c>
      <c r="E253" s="1">
        <v>38.046379738667603</v>
      </c>
      <c r="F253" s="1">
        <v>-94.615334709196105</v>
      </c>
      <c r="G253" s="4" t="str">
        <f>HYPERLINK(CONCATENATE("https://ee-faluhong.projects.earthengine.app/view/isp-ts-evaluation#id=252 2019-&gt;2020;lat=38.0463797386676;lon=-94.6153347091961;year=2019;bf=7;level=18;"), "landsat_time_series")</f>
        <v>landsat_time_series</v>
      </c>
      <c r="H253" s="4" t="str">
        <f>HYPERLINK(CONCATENATE("https://jstnbraaten.users.earthengine.app/view/landsat-timeseries-explorer#run=true;lon=-94.6153347091961;lat=38.0463797386676;from=01-01;to=12-31;index=NDVI;rgb=NIR%2FRED%2FGREEN;chipwidth=1;"), "landsat_chips")</f>
        <v>landsat_chips</v>
      </c>
      <c r="I253" s="4" t="str">
        <f>HYPERLINK(CONCATENATE("https://livingatlas.arcgis.com/wayback/#ext=-94.61633470919611,38.0473797386676,-94.6143347091961,38.045379738667606"), "wayback")</f>
        <v>wayback</v>
      </c>
      <c r="J253" s="9" t="s">
        <v>19</v>
      </c>
      <c r="L253" s="9" t="s">
        <v>15</v>
      </c>
    </row>
    <row r="254" spans="1:13">
      <c r="A254" s="1" t="s">
        <v>45</v>
      </c>
      <c r="B254" s="1">
        <v>253</v>
      </c>
      <c r="C254" s="1">
        <v>2007</v>
      </c>
      <c r="D254" s="1">
        <v>2008</v>
      </c>
      <c r="E254" s="1">
        <v>28.5124429118022</v>
      </c>
      <c r="F254" s="1">
        <v>-81.273919316062248</v>
      </c>
      <c r="G254" s="4" t="str">
        <f>HYPERLINK(CONCATENATE("https://ee-faluhong.projects.earthengine.app/view/isp-ts-evaluation#id=253 2007-&gt;2008;lat=28.5124429118022;lon=-81.27391931606225;year=2007;bf=7;level=18;"), "landsat_time_series")</f>
        <v>landsat_time_series</v>
      </c>
      <c r="H254" s="4" t="str">
        <f>HYPERLINK(CONCATENATE("https://jstnbraaten.users.earthengine.app/view/landsat-timeseries-explorer#run=true;lon=-81.27391931606225;lat=28.5124429118022;from=01-01;to=12-31;index=NDVI;rgb=NIR%2FRED%2FGREEN;chipwidth=1;"), "landsat_chips")</f>
        <v>landsat_chips</v>
      </c>
      <c r="I254" s="4" t="str">
        <f>HYPERLINK(CONCATENATE("https://livingatlas.arcgis.com/wayback/#ext=-81.27491931606225,28.5134429118022,-81.27291931606224,28.5114429118022"), "wayback")</f>
        <v>wayback</v>
      </c>
      <c r="J254" s="9" t="s">
        <v>34</v>
      </c>
      <c r="L254" s="9" t="s">
        <v>56</v>
      </c>
    </row>
    <row r="255" spans="1:13">
      <c r="A255" s="1" t="s">
        <v>45</v>
      </c>
      <c r="B255" s="1">
        <v>254</v>
      </c>
      <c r="C255" s="1">
        <v>2004</v>
      </c>
      <c r="D255" s="1">
        <v>2005</v>
      </c>
      <c r="E255" s="1">
        <v>36.803328590511867</v>
      </c>
      <c r="F255" s="1">
        <v>-119.8949729864369</v>
      </c>
      <c r="G255" s="4" t="str">
        <f>HYPERLINK(CONCATENATE("https://ee-faluhong.projects.earthengine.app/view/isp-ts-evaluation#id=254 2004-&gt;2005;lat=36.80332859051187;lon=-119.8949729864369;year=2004;bf=7;level=18;"), "landsat_time_series")</f>
        <v>landsat_time_series</v>
      </c>
      <c r="H255" s="4" t="str">
        <f>HYPERLINK(CONCATENATE("https://jstnbraaten.users.earthengine.app/view/landsat-timeseries-explorer#run=true;lon=-119.8949729864369;lat=36.80332859051187;from=01-01;to=12-31;index=NDVI;rgb=NIR%2FRED%2FGREEN;chipwidth=1;"), "landsat_chips")</f>
        <v>landsat_chips</v>
      </c>
      <c r="I255" s="4" t="str">
        <f>HYPERLINK(CONCATENATE("https://livingatlas.arcgis.com/wayback/#ext=-119.8959729864369,36.804328590511865,-119.89397298643689,36.80232859051187"), "wayback")</f>
        <v>wayback</v>
      </c>
      <c r="J255" s="9" t="s">
        <v>17</v>
      </c>
      <c r="L255" s="9" t="s">
        <v>15</v>
      </c>
      <c r="M255" s="9" t="s">
        <v>65</v>
      </c>
    </row>
    <row r="256" spans="1:13">
      <c r="A256" s="1" t="s">
        <v>45</v>
      </c>
      <c r="B256" s="1">
        <v>255</v>
      </c>
      <c r="C256" s="1">
        <v>2017</v>
      </c>
      <c r="D256" s="1">
        <v>2018</v>
      </c>
      <c r="E256" s="1">
        <v>33.668500004435401</v>
      </c>
      <c r="F256" s="1">
        <v>-79.994240699001537</v>
      </c>
      <c r="G256" s="4" t="str">
        <f>HYPERLINK(CONCATENATE("https://ee-faluhong.projects.earthengine.app/view/isp-ts-evaluation#id=255 2017-&gt;2018;lat=33.6685000044354;lon=-79.99424069900154;year=2017;bf=7;level=18;"), "landsat_time_series")</f>
        <v>landsat_time_series</v>
      </c>
      <c r="H256" s="4" t="str">
        <f>HYPERLINK(CONCATENATE("https://jstnbraaten.users.earthengine.app/view/landsat-timeseries-explorer#run=true;lon=-79.99424069900154;lat=33.6685000044354;from=01-01;to=12-31;index=NDVI;rgb=NIR%2FRED%2FGREEN;chipwidth=1;"), "landsat_chips")</f>
        <v>landsat_chips</v>
      </c>
      <c r="I256" s="4" t="str">
        <f>HYPERLINK(CONCATENATE("https://livingatlas.arcgis.com/wayback/#ext=-79.99524069900154,33.6695000044354,-79.99324069900153,33.667500004435404"), "wayback")</f>
        <v>wayback</v>
      </c>
      <c r="J256" s="9" t="s">
        <v>17</v>
      </c>
      <c r="L256" s="9" t="s">
        <v>15</v>
      </c>
    </row>
    <row r="257" spans="1:13">
      <c r="A257" s="1" t="s">
        <v>45</v>
      </c>
      <c r="B257" s="1">
        <v>256</v>
      </c>
      <c r="C257" s="1">
        <v>2009</v>
      </c>
      <c r="D257" s="1">
        <v>2010</v>
      </c>
      <c r="E257" s="1">
        <v>31.569740551686621</v>
      </c>
      <c r="F257" s="1">
        <v>-81.877571754954289</v>
      </c>
      <c r="G257" s="4" t="str">
        <f>HYPERLINK(CONCATENATE("https://ee-faluhong.projects.earthengine.app/view/isp-ts-evaluation#id=256 2009-&gt;2010;lat=31.56974055168662;lon=-81.87757175495429;year=2009;bf=7;level=18;"), "landsat_time_series")</f>
        <v>landsat_time_series</v>
      </c>
      <c r="H257" s="4" t="str">
        <f>HYPERLINK(CONCATENATE("https://jstnbraaten.users.earthengine.app/view/landsat-timeseries-explorer#run=true;lon=-81.87757175495429;lat=31.56974055168662;from=01-01;to=12-31;index=NDVI;rgb=NIR%2FRED%2FGREEN;chipwidth=1;"), "landsat_chips")</f>
        <v>landsat_chips</v>
      </c>
      <c r="I257" s="4" t="str">
        <f>HYPERLINK(CONCATENATE("https://livingatlas.arcgis.com/wayback/#ext=-81.8785717549543,31.570740551686622,-81.87657175495428,31.56874055168662"), "wayback")</f>
        <v>wayback</v>
      </c>
      <c r="J257" s="9" t="s">
        <v>34</v>
      </c>
      <c r="L257" s="9" t="s">
        <v>15</v>
      </c>
    </row>
    <row r="258" spans="1:13">
      <c r="A258" s="1" t="s">
        <v>45</v>
      </c>
      <c r="B258" s="1">
        <v>257</v>
      </c>
      <c r="C258" s="1">
        <v>2010</v>
      </c>
      <c r="D258" s="1">
        <v>2011</v>
      </c>
      <c r="E258" s="1">
        <v>29.31472302761664</v>
      </c>
      <c r="F258" s="1">
        <v>-98.815120615641774</v>
      </c>
      <c r="G258" s="4" t="str">
        <f>HYPERLINK(CONCATENATE("https://ee-faluhong.projects.earthengine.app/view/isp-ts-evaluation#id=257 2010-&gt;2011;lat=29.31472302761664;lon=-98.81512061564177;year=2010;bf=7;level=18;"), "landsat_time_series")</f>
        <v>landsat_time_series</v>
      </c>
      <c r="H258" s="4" t="str">
        <f>HYPERLINK(CONCATENATE("https://jstnbraaten.users.earthengine.app/view/landsat-timeseries-explorer#run=true;lon=-98.81512061564177;lat=29.31472302761664;from=01-01;to=12-31;index=NDVI;rgb=NIR%2FRED%2FGREEN;chipwidth=1;"), "landsat_chips")</f>
        <v>landsat_chips</v>
      </c>
      <c r="I258" s="4" t="str">
        <f>HYPERLINK(CONCATENATE("https://livingatlas.arcgis.com/wayback/#ext=-98.81612061564178,29.31572302761664,-98.81412061564177,29.31372302761664"), "wayback")</f>
        <v>wayback</v>
      </c>
      <c r="J258" s="9" t="s">
        <v>17</v>
      </c>
      <c r="L258" s="9" t="s">
        <v>56</v>
      </c>
      <c r="M258" s="9" t="s">
        <v>72</v>
      </c>
    </row>
    <row r="259" spans="1:13">
      <c r="A259" s="1" t="s">
        <v>45</v>
      </c>
      <c r="B259" s="1">
        <v>258</v>
      </c>
      <c r="C259" s="1">
        <v>2016</v>
      </c>
      <c r="D259" s="1">
        <v>2017</v>
      </c>
      <c r="E259" s="1">
        <v>42.867845106933103</v>
      </c>
      <c r="F259" s="1">
        <v>-82.737765325062981</v>
      </c>
      <c r="G259" s="4" t="str">
        <f>HYPERLINK(CONCATENATE("https://ee-faluhong.projects.earthengine.app/view/isp-ts-evaluation#id=258 2016-&gt;2017;lat=42.8678451069331;lon=-82.73776532506298;year=2016;bf=7;level=18;"), "landsat_time_series")</f>
        <v>landsat_time_series</v>
      </c>
      <c r="H259" s="4" t="str">
        <f>HYPERLINK(CONCATENATE("https://jstnbraaten.users.earthengine.app/view/landsat-timeseries-explorer#run=true;lon=-82.73776532506298;lat=42.8678451069331;from=01-01;to=12-31;index=NDVI;rgb=NIR%2FRED%2FGREEN;chipwidth=1;"), "landsat_chips")</f>
        <v>landsat_chips</v>
      </c>
      <c r="I259" s="4" t="str">
        <f>HYPERLINK(CONCATENATE("https://livingatlas.arcgis.com/wayback/#ext=-82.73876532506299,42.8688451069331,-82.73676532506298,42.866845106933106"), "wayback")</f>
        <v>wayback</v>
      </c>
      <c r="J259" s="9" t="s">
        <v>19</v>
      </c>
      <c r="L259" s="9" t="s">
        <v>15</v>
      </c>
    </row>
    <row r="260" spans="1:13">
      <c r="A260" s="1" t="s">
        <v>45</v>
      </c>
      <c r="B260" s="1">
        <v>259</v>
      </c>
      <c r="C260" s="1">
        <v>2009</v>
      </c>
      <c r="D260" s="1">
        <v>2010</v>
      </c>
      <c r="E260" s="1">
        <v>46.407436145219762</v>
      </c>
      <c r="F260" s="1">
        <v>-120.275397005938</v>
      </c>
      <c r="G260" s="4" t="str">
        <f>HYPERLINK(CONCATENATE("https://ee-faluhong.projects.earthengine.app/view/isp-ts-evaluation#id=259 2009-&gt;2010;lat=46.40743614521976;lon=-120.275397005938;year=2009;bf=7;level=18;"), "landsat_time_series")</f>
        <v>landsat_time_series</v>
      </c>
      <c r="H260" s="4" t="str">
        <f>HYPERLINK(CONCATENATE("https://jstnbraaten.users.earthengine.app/view/landsat-timeseries-explorer#run=true;lon=-120.275397005938;lat=46.40743614521976;from=01-01;to=12-31;index=NDVI;rgb=NIR%2FRED%2FGREEN;chipwidth=1;"), "landsat_chips")</f>
        <v>landsat_chips</v>
      </c>
      <c r="I260" s="4" t="str">
        <f>HYPERLINK(CONCATENATE("https://livingatlas.arcgis.com/wayback/#ext=-120.27639700593801,46.40843614521976,-120.274397005938,46.406436145219764"), "wayback")</f>
        <v>wayback</v>
      </c>
      <c r="J260" s="9" t="s">
        <v>34</v>
      </c>
    </row>
    <row r="261" spans="1:13">
      <c r="A261" s="1" t="s">
        <v>45</v>
      </c>
      <c r="B261" s="1">
        <v>260</v>
      </c>
      <c r="C261" s="1">
        <v>2014</v>
      </c>
      <c r="D261" s="1">
        <v>2015</v>
      </c>
      <c r="E261" s="1">
        <v>27.099512949351801</v>
      </c>
      <c r="F261" s="1">
        <v>-80.350410665648781</v>
      </c>
      <c r="G261" s="4" t="str">
        <f>HYPERLINK(CONCATENATE("https://ee-faluhong.projects.earthengine.app/view/isp-ts-evaluation#id=260 2014-&gt;2015;lat=27.0995129493518;lon=-80.35041066564878;year=2014;bf=7;level=18;"), "landsat_time_series")</f>
        <v>landsat_time_series</v>
      </c>
      <c r="H261" s="4" t="str">
        <f>HYPERLINK(CONCATENATE("https://jstnbraaten.users.earthengine.app/view/landsat-timeseries-explorer#run=true;lon=-80.35041066564878;lat=27.0995129493518;from=01-01;to=12-31;index=NDVI;rgb=NIR%2FRED%2FGREEN;chipwidth=1;"), "landsat_chips")</f>
        <v>landsat_chips</v>
      </c>
      <c r="I261" s="4" t="str">
        <f>HYPERLINK(CONCATENATE("https://livingatlas.arcgis.com/wayback/#ext=-80.35141066564879,27.100512949351803,-80.34941066564878,27.0985129493518"), "wayback")</f>
        <v>wayback</v>
      </c>
      <c r="J261" s="9" t="s">
        <v>19</v>
      </c>
      <c r="M261" s="9" t="s">
        <v>73</v>
      </c>
    </row>
    <row r="262" spans="1:13">
      <c r="A262" s="1" t="s">
        <v>45</v>
      </c>
      <c r="B262" s="1">
        <v>261</v>
      </c>
      <c r="C262" s="1">
        <v>2015</v>
      </c>
      <c r="D262" s="1">
        <v>2016</v>
      </c>
      <c r="E262" s="1">
        <v>38.999041653628673</v>
      </c>
      <c r="F262" s="1">
        <v>-83.545231654013065</v>
      </c>
      <c r="G262" s="4" t="str">
        <f>HYPERLINK(CONCATENATE("https://ee-faluhong.projects.earthengine.app/view/isp-ts-evaluation#id=261 2015-&gt;2016;lat=38.99904165362867;lon=-83.54523165401307;year=2015;bf=7;level=18;"), "landsat_time_series")</f>
        <v>landsat_time_series</v>
      </c>
      <c r="H262" s="4" t="str">
        <f>HYPERLINK(CONCATENATE("https://jstnbraaten.users.earthengine.app/view/landsat-timeseries-explorer#run=true;lon=-83.54523165401307;lat=38.99904165362867;from=01-01;to=12-31;index=NDVI;rgb=NIR%2FRED%2FGREEN;chipwidth=1;"), "landsat_chips")</f>
        <v>landsat_chips</v>
      </c>
      <c r="I262" s="4" t="str">
        <f>HYPERLINK(CONCATENATE("https://livingatlas.arcgis.com/wayback/#ext=-83.54623165401307,39.00004165362867,-83.54423165401306,38.998041653628675"), "wayback")</f>
        <v>wayback</v>
      </c>
      <c r="J262" s="9" t="s">
        <v>14</v>
      </c>
      <c r="L262" s="9" t="s">
        <v>15</v>
      </c>
    </row>
    <row r="263" spans="1:13">
      <c r="A263" s="1" t="s">
        <v>45</v>
      </c>
      <c r="B263" s="1">
        <v>262</v>
      </c>
      <c r="C263" s="1">
        <v>2014</v>
      </c>
      <c r="D263" s="1">
        <v>2015</v>
      </c>
      <c r="E263" s="1">
        <v>29.94547634011921</v>
      </c>
      <c r="F263" s="1">
        <v>-95.318786961700596</v>
      </c>
      <c r="G263" s="4" t="str">
        <f>HYPERLINK(CONCATENATE("https://ee-faluhong.projects.earthengine.app/view/isp-ts-evaluation#id=262 2014-&gt;2015;lat=29.94547634011921;lon=-95.3187869617006;year=2014;bf=7;level=18;"), "landsat_time_series")</f>
        <v>landsat_time_series</v>
      </c>
      <c r="H263" s="4" t="str">
        <f>HYPERLINK(CONCATENATE("https://jstnbraaten.users.earthengine.app/view/landsat-timeseries-explorer#run=true;lon=-95.3187869617006;lat=29.94547634011921;from=01-01;to=12-31;index=NDVI;rgb=NIR%2FRED%2FGREEN;chipwidth=1;"), "landsat_chips")</f>
        <v>landsat_chips</v>
      </c>
      <c r="I263" s="4" t="str">
        <f>HYPERLINK(CONCATENATE("https://livingatlas.arcgis.com/wayback/#ext=-95.3197869617006,29.94647634011921,-95.31778696170059,29.94447634011921"), "wayback")</f>
        <v>wayback</v>
      </c>
      <c r="J263" s="9" t="s">
        <v>14</v>
      </c>
      <c r="L263" s="9" t="s">
        <v>15</v>
      </c>
    </row>
    <row r="264" spans="1:13">
      <c r="A264" s="1" t="s">
        <v>45</v>
      </c>
      <c r="B264" s="1">
        <v>263</v>
      </c>
      <c r="C264" s="1">
        <v>2019</v>
      </c>
      <c r="D264" s="1">
        <v>2020</v>
      </c>
      <c r="E264" s="1">
        <v>33.552413567895869</v>
      </c>
      <c r="F264" s="1">
        <v>-116.0950762234588</v>
      </c>
      <c r="G264" s="4" t="str">
        <f>HYPERLINK(CONCATENATE("https://ee-faluhong.projects.earthengine.app/view/isp-ts-evaluation#id=263 2019-&gt;2020;lat=33.55241356789587;lon=-116.0950762234588;year=2019;bf=7;level=18;"), "landsat_time_series")</f>
        <v>landsat_time_series</v>
      </c>
      <c r="H264" s="4" t="str">
        <f>HYPERLINK(CONCATENATE("https://jstnbraaten.users.earthengine.app/view/landsat-timeseries-explorer#run=true;lon=-116.0950762234588;lat=33.55241356789587;from=01-01;to=12-31;index=NDVI;rgb=NIR%2FRED%2FGREEN;chipwidth=1;"), "landsat_chips")</f>
        <v>landsat_chips</v>
      </c>
      <c r="I264" s="4" t="str">
        <f>HYPERLINK(CONCATENATE("https://livingatlas.arcgis.com/wayback/#ext=-116.09607622345881,33.553413567895866,-116.0940762234588,33.55141356789587"), "wayback")</f>
        <v>wayback</v>
      </c>
      <c r="J264" s="9" t="s">
        <v>17</v>
      </c>
      <c r="M264" s="9" t="s">
        <v>74</v>
      </c>
    </row>
    <row r="265" spans="1:13">
      <c r="A265" s="1" t="s">
        <v>45</v>
      </c>
      <c r="B265" s="1">
        <v>264</v>
      </c>
      <c r="C265" s="1">
        <v>2004</v>
      </c>
      <c r="D265" s="1">
        <v>2005</v>
      </c>
      <c r="E265" s="1">
        <v>39.912745812162932</v>
      </c>
      <c r="F265" s="1">
        <v>-115.24872803663141</v>
      </c>
      <c r="G265" s="4" t="str">
        <f>HYPERLINK(CONCATENATE("https://ee-faluhong.projects.earthengine.app/view/isp-ts-evaluation#id=264 2004-&gt;2005;lat=39.91274581216293;lon=-115.2487280366314;year=2004;bf=7;level=18;"), "landsat_time_series")</f>
        <v>landsat_time_series</v>
      </c>
      <c r="H265" s="4" t="str">
        <f>HYPERLINK(CONCATENATE("https://jstnbraaten.users.earthengine.app/view/landsat-timeseries-explorer#run=true;lon=-115.2487280366314;lat=39.91274581216293;from=01-01;to=12-31;index=NDVI;rgb=NIR%2FRED%2FGREEN;chipwidth=1;"), "landsat_chips")</f>
        <v>landsat_chips</v>
      </c>
      <c r="I265" s="4" t="str">
        <f>HYPERLINK(CONCATENATE("https://livingatlas.arcgis.com/wayback/#ext=-115.24972803663141,39.91374581216293,-115.2477280366314,39.911745812162934"), "wayback")</f>
        <v>wayback</v>
      </c>
      <c r="J265" s="9" t="s">
        <v>19</v>
      </c>
      <c r="L265" s="9" t="s">
        <v>15</v>
      </c>
    </row>
    <row r="266" spans="1:13">
      <c r="A266" s="1" t="s">
        <v>45</v>
      </c>
      <c r="B266" s="1">
        <v>265</v>
      </c>
      <c r="C266" s="1">
        <v>2017</v>
      </c>
      <c r="D266" s="1">
        <v>2018</v>
      </c>
      <c r="E266" s="1">
        <v>37.671091931127179</v>
      </c>
      <c r="F266" s="1">
        <v>-113.0556251260643</v>
      </c>
      <c r="G266" s="4" t="str">
        <f>HYPERLINK(CONCATENATE("https://ee-faluhong.projects.earthengine.app/view/isp-ts-evaluation#id=265 2017-&gt;2018;lat=37.67109193112718;lon=-113.0556251260643;year=2017;bf=7;level=18;"), "landsat_time_series")</f>
        <v>landsat_time_series</v>
      </c>
      <c r="H266" s="4" t="str">
        <f>HYPERLINK(CONCATENATE("https://jstnbraaten.users.earthengine.app/view/landsat-timeseries-explorer#run=true;lon=-113.0556251260643;lat=37.67109193112718;from=01-01;to=12-31;index=NDVI;rgb=NIR%2FRED%2FGREEN;chipwidth=1;"), "landsat_chips")</f>
        <v>landsat_chips</v>
      </c>
      <c r="I266" s="4" t="str">
        <f>HYPERLINK(CONCATENATE("https://livingatlas.arcgis.com/wayback/#ext=-113.0566251260643,37.67209193112718,-113.0546251260643,37.67009193112718"), "wayback")</f>
        <v>wayback</v>
      </c>
      <c r="J266" s="9" t="s">
        <v>25</v>
      </c>
      <c r="K266" s="9" t="s">
        <v>26</v>
      </c>
      <c r="L266" s="9" t="s">
        <v>24</v>
      </c>
      <c r="M266" s="9" t="s">
        <v>65</v>
      </c>
    </row>
    <row r="267" spans="1:13">
      <c r="A267" s="1" t="s">
        <v>45</v>
      </c>
      <c r="B267" s="1">
        <v>266</v>
      </c>
      <c r="C267" s="1">
        <v>2013</v>
      </c>
      <c r="D267" s="1">
        <v>2014</v>
      </c>
      <c r="E267" s="1">
        <v>35.852574971802788</v>
      </c>
      <c r="F267" s="1">
        <v>-120.2587739936387</v>
      </c>
      <c r="G267" s="4" t="str">
        <f>HYPERLINK(CONCATENATE("https://ee-faluhong.projects.earthengine.app/view/isp-ts-evaluation#id=266 2013-&gt;2014;lat=35.85257497180279;lon=-120.2587739936387;year=2013;bf=7;level=18;"), "landsat_time_series")</f>
        <v>landsat_time_series</v>
      </c>
      <c r="H267" s="4" t="str">
        <f>HYPERLINK(CONCATENATE("https://jstnbraaten.users.earthengine.app/view/landsat-timeseries-explorer#run=true;lon=-120.2587739936387;lat=35.85257497180279;from=01-01;to=12-31;index=NDVI;rgb=NIR%2FRED%2FGREEN;chipwidth=1;"), "landsat_chips")</f>
        <v>landsat_chips</v>
      </c>
      <c r="I267" s="4" t="str">
        <f>HYPERLINK(CONCATENATE("https://livingatlas.arcgis.com/wayback/#ext=-120.2597739936387,35.853574971802786,-120.2577739936387,35.85157497180279"), "wayback")</f>
        <v>wayback</v>
      </c>
      <c r="J267" s="9" t="s">
        <v>19</v>
      </c>
      <c r="L267" s="9" t="s">
        <v>15</v>
      </c>
    </row>
    <row r="268" spans="1:13">
      <c r="A268" s="1" t="s">
        <v>45</v>
      </c>
      <c r="B268" s="1">
        <v>267</v>
      </c>
      <c r="C268" s="1">
        <v>2003</v>
      </c>
      <c r="D268" s="1">
        <v>2004</v>
      </c>
      <c r="E268" s="1">
        <v>31.878607967562491</v>
      </c>
      <c r="F268" s="1">
        <v>-106.4280117796558</v>
      </c>
      <c r="G268" s="4" t="str">
        <f>HYPERLINK(CONCATENATE("https://ee-faluhong.projects.earthengine.app/view/isp-ts-evaluation#id=267 2003-&gt;2004;lat=31.87860796756249;lon=-106.4280117796558;year=2003;bf=7;level=18;"), "landsat_time_series")</f>
        <v>landsat_time_series</v>
      </c>
      <c r="H268" s="4" t="str">
        <f>HYPERLINK(CONCATENATE("https://jstnbraaten.users.earthengine.app/view/landsat-timeseries-explorer#run=true;lon=-106.4280117796558;lat=31.87860796756249;from=01-01;to=12-31;index=NDVI;rgb=NIR%2FRED%2FGREEN;chipwidth=1;"), "landsat_chips")</f>
        <v>landsat_chips</v>
      </c>
      <c r="I268" s="4" t="str">
        <f>HYPERLINK(CONCATENATE("https://livingatlas.arcgis.com/wayback/#ext=-106.42901177965581,31.879607967562492,-106.4270117796558,31.87760796756249"), "wayback")</f>
        <v>wayback</v>
      </c>
      <c r="J268" s="9" t="s">
        <v>14</v>
      </c>
      <c r="L268" s="9" t="s">
        <v>24</v>
      </c>
    </row>
    <row r="269" spans="1:13">
      <c r="A269" s="1" t="s">
        <v>45</v>
      </c>
      <c r="B269" s="1">
        <v>268</v>
      </c>
      <c r="C269" s="1">
        <v>2014</v>
      </c>
      <c r="D269" s="1">
        <v>2015</v>
      </c>
      <c r="E269" s="1">
        <v>35.866289201333643</v>
      </c>
      <c r="F269" s="1">
        <v>-84.104296092295471</v>
      </c>
      <c r="G269" s="4" t="str">
        <f>HYPERLINK(CONCATENATE("https://ee-faluhong.projects.earthengine.app/view/isp-ts-evaluation#id=268 2014-&gt;2015;lat=35.86628920133364;lon=-84.10429609229547;year=2014;bf=7;level=18;"), "landsat_time_series")</f>
        <v>landsat_time_series</v>
      </c>
      <c r="H269" s="4" t="str">
        <f>HYPERLINK(CONCATENATE("https://jstnbraaten.users.earthengine.app/view/landsat-timeseries-explorer#run=true;lon=-84.10429609229547;lat=35.86628920133364;from=01-01;to=12-31;index=NDVI;rgb=NIR%2FRED%2FGREEN;chipwidth=1;"), "landsat_chips")</f>
        <v>landsat_chips</v>
      </c>
      <c r="I269" s="4" t="str">
        <f>HYPERLINK(CONCATENATE("https://livingatlas.arcgis.com/wayback/#ext=-84.10529609229548,35.86728920133364,-84.10329609229547,35.865289201333646"), "wayback")</f>
        <v>wayback</v>
      </c>
      <c r="J269" s="9" t="s">
        <v>19</v>
      </c>
      <c r="L269" s="9" t="s">
        <v>15</v>
      </c>
    </row>
    <row r="270" spans="1:13">
      <c r="A270" s="1" t="s">
        <v>45</v>
      </c>
      <c r="B270" s="1">
        <v>269</v>
      </c>
      <c r="C270" s="1">
        <v>2004</v>
      </c>
      <c r="D270" s="1">
        <v>2005</v>
      </c>
      <c r="E270" s="1">
        <v>31.463230845236509</v>
      </c>
      <c r="F270" s="1">
        <v>-100.4462558572412</v>
      </c>
      <c r="G270" s="4" t="str">
        <f>HYPERLINK(CONCATENATE("https://ee-faluhong.projects.earthengine.app/view/isp-ts-evaluation#id=269 2004-&gt;2005;lat=31.46323084523651;lon=-100.4462558572412;year=2004;bf=7;level=18;"), "landsat_time_series")</f>
        <v>landsat_time_series</v>
      </c>
      <c r="H270" s="4" t="str">
        <f>HYPERLINK(CONCATENATE("https://jstnbraaten.users.earthengine.app/view/landsat-timeseries-explorer#run=true;lon=-100.4462558572412;lat=31.46323084523651;from=01-01;to=12-31;index=NDVI;rgb=NIR%2FRED%2FGREEN;chipwidth=1;"), "landsat_chips")</f>
        <v>landsat_chips</v>
      </c>
      <c r="I270" s="4" t="str">
        <f>HYPERLINK(CONCATENATE("https://livingatlas.arcgis.com/wayback/#ext=-100.4472558572412,31.46423084523651,-100.4452558572412,31.46223084523651"), "wayback")</f>
        <v>wayback</v>
      </c>
      <c r="J270" s="9" t="s">
        <v>25</v>
      </c>
      <c r="K270" s="9" t="s">
        <v>26</v>
      </c>
      <c r="L270" s="9" t="s">
        <v>15</v>
      </c>
    </row>
    <row r="271" spans="1:13">
      <c r="A271" s="1" t="s">
        <v>45</v>
      </c>
      <c r="B271" s="1">
        <v>270</v>
      </c>
      <c r="C271" s="1">
        <v>2003</v>
      </c>
      <c r="D271" s="1">
        <v>2004</v>
      </c>
      <c r="E271" s="1">
        <v>36.974735586698372</v>
      </c>
      <c r="F271" s="1">
        <v>-121.7306309628204</v>
      </c>
      <c r="G271" s="4" t="str">
        <f>HYPERLINK(CONCATENATE("https://ee-faluhong.projects.earthengine.app/view/isp-ts-evaluation#id=270 2003-&gt;2004;lat=36.97473558669837;lon=-121.7306309628204;year=2003;bf=7;level=18;"), "landsat_time_series")</f>
        <v>landsat_time_series</v>
      </c>
      <c r="H271" s="4" t="str">
        <f>HYPERLINK(CONCATENATE("https://jstnbraaten.users.earthengine.app/view/landsat-timeseries-explorer#run=true;lon=-121.7306309628204;lat=36.97473558669837;from=01-01;to=12-31;index=NDVI;rgb=NIR%2FRED%2FGREEN;chipwidth=1;"), "landsat_chips")</f>
        <v>landsat_chips</v>
      </c>
      <c r="I271" s="4" t="str">
        <f>HYPERLINK(CONCATENATE("https://livingatlas.arcgis.com/wayback/#ext=-121.7316309628204,36.97573558669837,-121.7296309628204,36.973735586698375"), "wayback")</f>
        <v>wayback</v>
      </c>
      <c r="J271" s="9" t="s">
        <v>25</v>
      </c>
      <c r="K271" s="9" t="s">
        <v>26</v>
      </c>
      <c r="L271" s="9" t="s">
        <v>15</v>
      </c>
    </row>
    <row r="272" spans="1:13">
      <c r="A272" s="1" t="s">
        <v>45</v>
      </c>
      <c r="B272" s="1">
        <v>271</v>
      </c>
      <c r="C272" s="1">
        <v>2015</v>
      </c>
      <c r="D272" s="1">
        <v>2016</v>
      </c>
      <c r="E272" s="1">
        <v>30.61639599182055</v>
      </c>
      <c r="F272" s="1">
        <v>-89.912262282064631</v>
      </c>
      <c r="G272" s="4" t="str">
        <f>HYPERLINK(CONCATENATE("https://ee-faluhong.projects.earthengine.app/view/isp-ts-evaluation#id=271 2015-&gt;2016;lat=30.61639599182055;lon=-89.91226228206463;year=2015;bf=7;level=18;"), "landsat_time_series")</f>
        <v>landsat_time_series</v>
      </c>
      <c r="H272" s="4" t="str">
        <f>HYPERLINK(CONCATENATE("https://jstnbraaten.users.earthengine.app/view/landsat-timeseries-explorer#run=true;lon=-89.91226228206463;lat=30.61639599182055;from=01-01;to=12-31;index=NDVI;rgb=NIR%2FRED%2FGREEN;chipwidth=1;"), "landsat_chips")</f>
        <v>landsat_chips</v>
      </c>
      <c r="I272" s="4" t="str">
        <f>HYPERLINK(CONCATENATE("https://livingatlas.arcgis.com/wayback/#ext=-89.91326228206464,30.61739599182055,-89.91126228206463,30.61539599182055"), "wayback")</f>
        <v>wayback</v>
      </c>
      <c r="J272" s="9" t="s">
        <v>17</v>
      </c>
      <c r="L272" s="9" t="s">
        <v>15</v>
      </c>
    </row>
    <row r="273" spans="1:13">
      <c r="A273" s="1" t="s">
        <v>45</v>
      </c>
      <c r="B273" s="1">
        <v>272</v>
      </c>
      <c r="C273" s="1">
        <v>2011</v>
      </c>
      <c r="D273" s="1">
        <v>2012</v>
      </c>
      <c r="E273" s="1">
        <v>44.971076662598612</v>
      </c>
      <c r="F273" s="1">
        <v>-93.213510044796436</v>
      </c>
      <c r="G273" s="4" t="str">
        <f>HYPERLINK(CONCATENATE("https://ee-faluhong.projects.earthengine.app/view/isp-ts-evaluation#id=272 2011-&gt;2012;lat=44.97107666259861;lon=-93.21351004479644;year=2011;bf=7;level=18;"), "landsat_time_series")</f>
        <v>landsat_time_series</v>
      </c>
      <c r="H273" s="4" t="str">
        <f>HYPERLINK(CONCATENATE("https://jstnbraaten.users.earthengine.app/view/landsat-timeseries-explorer#run=true;lon=-93.21351004479644;lat=44.97107666259861;from=01-01;to=12-31;index=NDVI;rgb=NIR%2FRED%2FGREEN;chipwidth=1;"), "landsat_chips")</f>
        <v>landsat_chips</v>
      </c>
      <c r="I273" s="4" t="str">
        <f>HYPERLINK(CONCATENATE("https://livingatlas.arcgis.com/wayback/#ext=-93.21451004479644,44.97207666259861,-93.21251004479643,44.970076662598615"), "wayback")</f>
        <v>wayback</v>
      </c>
      <c r="J273" s="9" t="s">
        <v>17</v>
      </c>
      <c r="L273" s="9" t="s">
        <v>24</v>
      </c>
    </row>
    <row r="274" spans="1:13">
      <c r="A274" s="1" t="s">
        <v>45</v>
      </c>
      <c r="B274" s="1">
        <v>273</v>
      </c>
      <c r="C274" s="1">
        <v>2003</v>
      </c>
      <c r="D274" s="1">
        <v>2004</v>
      </c>
      <c r="E274" s="1">
        <v>28.880289644173281</v>
      </c>
      <c r="F274" s="1">
        <v>-81.687996903585741</v>
      </c>
      <c r="G274" s="4" t="str">
        <f>HYPERLINK(CONCATENATE("https://ee-faluhong.projects.earthengine.app/view/isp-ts-evaluation#id=273 2003-&gt;2004;lat=28.88028964417328;lon=-81.68799690358574;year=2003;bf=7;level=18;"), "landsat_time_series")</f>
        <v>landsat_time_series</v>
      </c>
      <c r="H274" s="4" t="str">
        <f>HYPERLINK(CONCATENATE("https://jstnbraaten.users.earthengine.app/view/landsat-timeseries-explorer#run=true;lon=-81.68799690358574;lat=28.88028964417328;from=01-01;to=12-31;index=NDVI;rgb=NIR%2FRED%2FGREEN;chipwidth=1;"), "landsat_chips")</f>
        <v>landsat_chips</v>
      </c>
      <c r="I274" s="4" t="str">
        <f>HYPERLINK(CONCATENATE("https://livingatlas.arcgis.com/wayback/#ext=-81.68899690358575,28.881289644173282,-81.68699690358574,28.87928964417328"), "wayback")</f>
        <v>wayback</v>
      </c>
      <c r="J274" s="9" t="s">
        <v>19</v>
      </c>
      <c r="L274" s="9" t="s">
        <v>15</v>
      </c>
    </row>
    <row r="275" spans="1:13">
      <c r="A275" s="1" t="s">
        <v>45</v>
      </c>
      <c r="B275" s="1">
        <v>274</v>
      </c>
      <c r="C275" s="1">
        <v>2019</v>
      </c>
      <c r="D275" s="1">
        <v>2020</v>
      </c>
      <c r="E275" s="1">
        <v>42.884187242782147</v>
      </c>
      <c r="F275" s="1">
        <v>-98.358105682858763</v>
      </c>
      <c r="G275" s="4" t="str">
        <f>HYPERLINK(CONCATENATE("https://ee-faluhong.projects.earthengine.app/view/isp-ts-evaluation#id=274 2019-&gt;2020;lat=42.88418724278215;lon=-98.35810568285876;year=2019;bf=7;level=18;"), "landsat_time_series")</f>
        <v>landsat_time_series</v>
      </c>
      <c r="H275" s="4" t="str">
        <f>HYPERLINK(CONCATENATE("https://jstnbraaten.users.earthengine.app/view/landsat-timeseries-explorer#run=true;lon=-98.35810568285876;lat=42.88418724278215;from=01-01;to=12-31;index=NDVI;rgb=NIR%2FRED%2FGREEN;chipwidth=1;"), "landsat_chips")</f>
        <v>landsat_chips</v>
      </c>
      <c r="I275" s="4" t="str">
        <f>HYPERLINK(CONCATENATE("https://livingatlas.arcgis.com/wayback/#ext=-98.35910568285877,42.885187242782145,-98.35710568285876,42.88318724278215"), "wayback")</f>
        <v>wayback</v>
      </c>
      <c r="J275" s="9" t="s">
        <v>19</v>
      </c>
      <c r="L275" s="9" t="s">
        <v>15</v>
      </c>
    </row>
    <row r="276" spans="1:13">
      <c r="A276" s="1" t="s">
        <v>45</v>
      </c>
      <c r="B276" s="1">
        <v>275</v>
      </c>
      <c r="C276" s="1">
        <v>2010</v>
      </c>
      <c r="D276" s="1">
        <v>2011</v>
      </c>
      <c r="E276" s="1">
        <v>38.561232513399133</v>
      </c>
      <c r="F276" s="1">
        <v>-84.494186485185253</v>
      </c>
      <c r="G276" s="4" t="str">
        <f>HYPERLINK(CONCATENATE("https://ee-faluhong.projects.earthengine.app/view/isp-ts-evaluation#id=275 2010-&gt;2011;lat=38.56123251339913;lon=-84.49418648518525;year=2010;bf=7;level=18;"), "landsat_time_series")</f>
        <v>landsat_time_series</v>
      </c>
      <c r="H276" s="4" t="str">
        <f>HYPERLINK(CONCATENATE("https://jstnbraaten.users.earthengine.app/view/landsat-timeseries-explorer#run=true;lon=-84.49418648518525;lat=38.56123251339913;from=01-01;to=12-31;index=NDVI;rgb=NIR%2FRED%2FGREEN;chipwidth=1;"), "landsat_chips")</f>
        <v>landsat_chips</v>
      </c>
      <c r="I276" s="4" t="str">
        <f>HYPERLINK(CONCATENATE("https://livingatlas.arcgis.com/wayback/#ext=-84.49518648518526,38.56223251339913,-84.49318648518525,38.560232513399136"), "wayback")</f>
        <v>wayback</v>
      </c>
      <c r="J276" s="9" t="s">
        <v>17</v>
      </c>
      <c r="L276" s="9" t="s">
        <v>15</v>
      </c>
    </row>
    <row r="277" spans="1:13">
      <c r="A277" s="1" t="s">
        <v>45</v>
      </c>
      <c r="B277" s="1">
        <v>276</v>
      </c>
      <c r="C277" s="1">
        <v>2001</v>
      </c>
      <c r="D277" s="1">
        <v>2002</v>
      </c>
      <c r="E277" s="1">
        <v>32.613039773282992</v>
      </c>
      <c r="F277" s="1">
        <v>-96.842565543866172</v>
      </c>
      <c r="G277" s="4" t="str">
        <f>HYPERLINK(CONCATENATE("https://ee-faluhong.projects.earthengine.app/view/isp-ts-evaluation#id=276 2001-&gt;2002;lat=32.61303977328299;lon=-96.84256554386617;year=2001;bf=7;level=18;"), "landsat_time_series")</f>
        <v>landsat_time_series</v>
      </c>
      <c r="H277" s="4" t="str">
        <f>HYPERLINK(CONCATENATE("https://jstnbraaten.users.earthengine.app/view/landsat-timeseries-explorer#run=true;lon=-96.84256554386617;lat=32.61303977328299;from=01-01;to=12-31;index=NDVI;rgb=NIR%2FRED%2FGREEN;chipwidth=1;"), "landsat_chips")</f>
        <v>landsat_chips</v>
      </c>
      <c r="I277" s="4" t="str">
        <f>HYPERLINK(CONCATENATE("https://livingatlas.arcgis.com/wayback/#ext=-96.84356554386618,32.61403977328299,-96.84156554386617,32.612039773282994"), "wayback")</f>
        <v>wayback</v>
      </c>
      <c r="J277" s="9" t="s">
        <v>14</v>
      </c>
      <c r="L277" s="9" t="s">
        <v>15</v>
      </c>
    </row>
    <row r="278" spans="1:13">
      <c r="A278" s="1" t="s">
        <v>45</v>
      </c>
      <c r="B278" s="1">
        <v>277</v>
      </c>
      <c r="C278" s="1">
        <v>2001</v>
      </c>
      <c r="D278" s="1">
        <v>2002</v>
      </c>
      <c r="E278" s="1">
        <v>47.225411949445622</v>
      </c>
      <c r="F278" s="1">
        <v>-122.9662067068673</v>
      </c>
      <c r="G278" s="4" t="str">
        <f>HYPERLINK(CONCATENATE("https://ee-faluhong.projects.earthengine.app/view/isp-ts-evaluation#id=277 2001-&gt;2002;lat=47.22541194944562;lon=-122.9662067068673;year=2001;bf=7;level=18;"), "landsat_time_series")</f>
        <v>landsat_time_series</v>
      </c>
      <c r="H278" s="4" t="str">
        <f>HYPERLINK(CONCATENATE("https://jstnbraaten.users.earthengine.app/view/landsat-timeseries-explorer#run=true;lon=-122.9662067068673;lat=47.22541194944562;from=01-01;to=12-31;index=NDVI;rgb=NIR%2FRED%2FGREEN;chipwidth=1;"), "landsat_chips")</f>
        <v>landsat_chips</v>
      </c>
      <c r="I278" s="4" t="str">
        <f>HYPERLINK(CONCATENATE("https://livingatlas.arcgis.com/wayback/#ext=-122.9672067068673,47.22641194944562,-122.96520670686729,47.224411949445624"), "wayback")</f>
        <v>wayback</v>
      </c>
      <c r="J278" s="9" t="s">
        <v>17</v>
      </c>
      <c r="L278" s="9" t="s">
        <v>15</v>
      </c>
    </row>
    <row r="279" spans="1:13">
      <c r="A279" s="1" t="s">
        <v>45</v>
      </c>
      <c r="B279" s="1">
        <v>278</v>
      </c>
      <c r="C279" s="1">
        <v>2015</v>
      </c>
      <c r="D279" s="1">
        <v>2016</v>
      </c>
      <c r="E279" s="1">
        <v>37.237172175129857</v>
      </c>
      <c r="F279" s="1">
        <v>-76.459409067474979</v>
      </c>
      <c r="G279" s="4" t="str">
        <f>HYPERLINK(CONCATENATE("https://ee-faluhong.projects.earthengine.app/view/isp-ts-evaluation#id=278 2015-&gt;2016;lat=37.23717217512986;lon=-76.45940906747498;year=2015;bf=7;level=18;"), "landsat_time_series")</f>
        <v>landsat_time_series</v>
      </c>
      <c r="H279" s="4" t="str">
        <f>HYPERLINK(CONCATENATE("https://jstnbraaten.users.earthengine.app/view/landsat-timeseries-explorer#run=true;lon=-76.45940906747498;lat=37.23717217512986;from=01-01;to=12-31;index=NDVI;rgb=NIR%2FRED%2FGREEN;chipwidth=1;"), "landsat_chips")</f>
        <v>landsat_chips</v>
      </c>
      <c r="I279" s="4" t="str">
        <f>HYPERLINK(CONCATENATE("https://livingatlas.arcgis.com/wayback/#ext=-76.46040906747498,37.238172175129854,-76.45840906747497,37.23617217512986"), "wayback")</f>
        <v>wayback</v>
      </c>
      <c r="J279" s="9" t="s">
        <v>19</v>
      </c>
      <c r="L279" s="9" t="s">
        <v>15</v>
      </c>
    </row>
    <row r="280" spans="1:13">
      <c r="A280" s="1" t="s">
        <v>45</v>
      </c>
      <c r="B280" s="1">
        <v>279</v>
      </c>
      <c r="C280" s="1">
        <v>2006</v>
      </c>
      <c r="D280" s="1">
        <v>2007</v>
      </c>
      <c r="E280" s="1">
        <v>33.922182544797479</v>
      </c>
      <c r="F280" s="1">
        <v>-116.8468871287225</v>
      </c>
      <c r="G280" s="4" t="str">
        <f>HYPERLINK(CONCATENATE("https://ee-faluhong.projects.earthengine.app/view/isp-ts-evaluation#id=279 2006-&gt;2007;lat=33.92218254479748;lon=-116.8468871287225;year=2006;bf=7;level=18;"), "landsat_time_series")</f>
        <v>landsat_time_series</v>
      </c>
      <c r="H280" s="4" t="str">
        <f>HYPERLINK(CONCATENATE("https://jstnbraaten.users.earthengine.app/view/landsat-timeseries-explorer#run=true;lon=-116.8468871287225;lat=33.92218254479748;from=01-01;to=12-31;index=NDVI;rgb=NIR%2FRED%2FGREEN;chipwidth=1;"), "landsat_chips")</f>
        <v>landsat_chips</v>
      </c>
      <c r="I280" s="4" t="str">
        <f>HYPERLINK(CONCATENATE("https://livingatlas.arcgis.com/wayback/#ext=-116.8478871287225,33.92318254479748,-116.8458871287225,33.92118254479748"), "wayback")</f>
        <v>wayback</v>
      </c>
      <c r="J280" s="9" t="s">
        <v>17</v>
      </c>
      <c r="L280" s="9" t="s">
        <v>24</v>
      </c>
    </row>
    <row r="281" spans="1:13">
      <c r="A281" s="1" t="s">
        <v>45</v>
      </c>
      <c r="B281" s="1">
        <v>280</v>
      </c>
      <c r="C281" s="1">
        <v>2007</v>
      </c>
      <c r="D281" s="1">
        <v>2008</v>
      </c>
      <c r="E281" s="1">
        <v>30.192025089061691</v>
      </c>
      <c r="F281" s="1">
        <v>-95.13173379424245</v>
      </c>
      <c r="G281" s="4" t="str">
        <f>HYPERLINK(CONCATENATE("https://ee-faluhong.projects.earthengine.app/view/isp-ts-evaluation#id=280 2007-&gt;2008;lat=30.19202508906169;lon=-95.13173379424245;year=2007;bf=7;level=18;"), "landsat_time_series")</f>
        <v>landsat_time_series</v>
      </c>
      <c r="H281" s="4" t="str">
        <f>HYPERLINK(CONCATENATE("https://jstnbraaten.users.earthengine.app/view/landsat-timeseries-explorer#run=true;lon=-95.13173379424245;lat=30.19202508906169;from=01-01;to=12-31;index=NDVI;rgb=NIR%2FRED%2FGREEN;chipwidth=1;"), "landsat_chips")</f>
        <v>landsat_chips</v>
      </c>
      <c r="I281" s="4" t="str">
        <f>HYPERLINK(CONCATENATE("https://livingatlas.arcgis.com/wayback/#ext=-95.13273379424245,30.193025089061692,-95.13073379424245,30.19102508906169"), "wayback")</f>
        <v>wayback</v>
      </c>
      <c r="J281" s="9" t="s">
        <v>14</v>
      </c>
      <c r="L281" s="9" t="s">
        <v>15</v>
      </c>
    </row>
    <row r="282" spans="1:13">
      <c r="A282" s="1" t="s">
        <v>45</v>
      </c>
      <c r="B282" s="1">
        <v>281</v>
      </c>
      <c r="C282" s="1">
        <v>2007</v>
      </c>
      <c r="D282" s="1">
        <v>2008</v>
      </c>
      <c r="E282" s="1">
        <v>31.4350984073467</v>
      </c>
      <c r="F282" s="1">
        <v>-97.744578458721037</v>
      </c>
      <c r="G282" s="4" t="str">
        <f>HYPERLINK(CONCATENATE("https://ee-faluhong.projects.earthengine.app/view/isp-ts-evaluation#id=281 2007-&gt;2008;lat=31.4350984073467;lon=-97.74457845872104;year=2007;bf=7;level=18;"), "landsat_time_series")</f>
        <v>landsat_time_series</v>
      </c>
      <c r="H282" s="4" t="str">
        <f>HYPERLINK(CONCATENATE("https://jstnbraaten.users.earthengine.app/view/landsat-timeseries-explorer#run=true;lon=-97.74457845872104;lat=31.4350984073467;from=01-01;to=12-31;index=NDVI;rgb=NIR%2FRED%2FGREEN;chipwidth=1;"), "landsat_chips")</f>
        <v>landsat_chips</v>
      </c>
      <c r="I282" s="4" t="str">
        <f>HYPERLINK(CONCATENATE("https://livingatlas.arcgis.com/wayback/#ext=-97.74557845872104,31.4360984073467,-97.74357845872103,31.4340984073467"), "wayback")</f>
        <v>wayback</v>
      </c>
      <c r="J282" s="9" t="s">
        <v>17</v>
      </c>
      <c r="L282" s="9" t="s">
        <v>24</v>
      </c>
    </row>
    <row r="283" spans="1:13">
      <c r="A283" s="1" t="s">
        <v>45</v>
      </c>
      <c r="B283" s="1">
        <v>282</v>
      </c>
      <c r="C283" s="1">
        <v>2014</v>
      </c>
      <c r="D283" s="1">
        <v>2015</v>
      </c>
      <c r="E283" s="1">
        <v>31.98459180056977</v>
      </c>
      <c r="F283" s="1">
        <v>-87.306554634487611</v>
      </c>
      <c r="G283" s="4" t="str">
        <f>HYPERLINK(CONCATENATE("https://ee-faluhong.projects.earthengine.app/view/isp-ts-evaluation#id=282 2014-&gt;2015;lat=31.98459180056977;lon=-87.30655463448761;year=2014;bf=7;level=18;"), "landsat_time_series")</f>
        <v>landsat_time_series</v>
      </c>
      <c r="H283" s="4" t="str">
        <f>HYPERLINK(CONCATENATE("https://jstnbraaten.users.earthengine.app/view/landsat-timeseries-explorer#run=true;lon=-87.30655463448761;lat=31.98459180056977;from=01-01;to=12-31;index=NDVI;rgb=NIR%2FRED%2FGREEN;chipwidth=1;"), "landsat_chips")</f>
        <v>landsat_chips</v>
      </c>
      <c r="I283" s="4" t="str">
        <f>HYPERLINK(CONCATENATE("https://livingatlas.arcgis.com/wayback/#ext=-87.30755463448762,31.98559180056977,-87.3055546344876,31.98359180056977"), "wayback")</f>
        <v>wayback</v>
      </c>
      <c r="J283" s="9" t="s">
        <v>19</v>
      </c>
      <c r="L283" s="9" t="s">
        <v>15</v>
      </c>
    </row>
    <row r="284" spans="1:13">
      <c r="A284" s="1" t="s">
        <v>45</v>
      </c>
      <c r="B284" s="1">
        <v>283</v>
      </c>
      <c r="C284" s="1">
        <v>2005</v>
      </c>
      <c r="D284" s="1">
        <v>2006</v>
      </c>
      <c r="E284" s="1">
        <v>37.68343522181668</v>
      </c>
      <c r="F284" s="1">
        <v>-120.9527610948482</v>
      </c>
      <c r="G284" s="4" t="str">
        <f>HYPERLINK(CONCATENATE("https://ee-faluhong.projects.earthengine.app/view/isp-ts-evaluation#id=283 2005-&gt;2006;lat=37.68343522181668;lon=-120.9527610948482;year=2005;bf=7;level=18;"), "landsat_time_series")</f>
        <v>landsat_time_series</v>
      </c>
      <c r="H284" s="4" t="str">
        <f>HYPERLINK(CONCATENATE("https://jstnbraaten.users.earthengine.app/view/landsat-timeseries-explorer#run=true;lon=-120.9527610948482;lat=37.68343522181668;from=01-01;to=12-31;index=NDVI;rgb=NIR%2FRED%2FGREEN;chipwidth=1;"), "landsat_chips")</f>
        <v>landsat_chips</v>
      </c>
      <c r="I284" s="4" t="str">
        <f>HYPERLINK(CONCATENATE("https://livingatlas.arcgis.com/wayback/#ext=-120.9537610948482,37.68443522181668,-120.9517610948482,37.68243522181668"), "wayback")</f>
        <v>wayback</v>
      </c>
      <c r="J284" s="9" t="s">
        <v>14</v>
      </c>
      <c r="L284" s="9" t="s">
        <v>15</v>
      </c>
    </row>
    <row r="285" spans="1:13">
      <c r="A285" s="1" t="s">
        <v>45</v>
      </c>
      <c r="B285" s="1">
        <v>284</v>
      </c>
      <c r="C285" s="1">
        <v>2011</v>
      </c>
      <c r="D285" s="1">
        <v>2012</v>
      </c>
      <c r="E285" s="1">
        <v>30.010147004902549</v>
      </c>
      <c r="F285" s="1">
        <v>-96.464146042561438</v>
      </c>
      <c r="G285" s="4" t="str">
        <f>HYPERLINK(CONCATENATE("https://ee-faluhong.projects.earthengine.app/view/isp-ts-evaluation#id=284 2011-&gt;2012;lat=30.01014700490255;lon=-96.46414604256144;year=2011;bf=7;level=18;"), "landsat_time_series")</f>
        <v>landsat_time_series</v>
      </c>
      <c r="H285" s="4" t="str">
        <f>HYPERLINK(CONCATENATE("https://jstnbraaten.users.earthengine.app/view/landsat-timeseries-explorer#run=true;lon=-96.46414604256144;lat=30.01014700490255;from=01-01;to=12-31;index=NDVI;rgb=NIR%2FRED%2FGREEN;chipwidth=1;"), "landsat_chips")</f>
        <v>landsat_chips</v>
      </c>
      <c r="I285" s="4" t="str">
        <f>HYPERLINK(CONCATENATE("https://livingatlas.arcgis.com/wayback/#ext=-96.46514604256144,30.01114700490255,-96.46314604256143,30.009147004902548"), "wayback")</f>
        <v>wayback</v>
      </c>
      <c r="J285" s="9" t="s">
        <v>17</v>
      </c>
      <c r="L285" s="9" t="s">
        <v>15</v>
      </c>
    </row>
    <row r="286" spans="1:13">
      <c r="A286" s="1" t="s">
        <v>45</v>
      </c>
      <c r="B286" s="1">
        <v>285</v>
      </c>
      <c r="C286" s="1">
        <v>2017</v>
      </c>
      <c r="D286" s="1">
        <v>2018</v>
      </c>
      <c r="E286" s="1">
        <v>35.399744575753218</v>
      </c>
      <c r="F286" s="1">
        <v>-82.509677161188819</v>
      </c>
      <c r="G286" s="4" t="str">
        <f>HYPERLINK(CONCATENATE("https://ee-faluhong.projects.earthengine.app/view/isp-ts-evaluation#id=285 2017-&gt;2018;lat=35.39974457575322;lon=-82.50967716118882;year=2017;bf=7;level=18;"), "landsat_time_series")</f>
        <v>landsat_time_series</v>
      </c>
      <c r="H286" s="4" t="str">
        <f>HYPERLINK(CONCATENATE("https://jstnbraaten.users.earthengine.app/view/landsat-timeseries-explorer#run=true;lon=-82.50967716118882;lat=35.39974457575322;from=01-01;to=12-31;index=NDVI;rgb=NIR%2FRED%2FGREEN;chipwidth=1;"), "landsat_chips")</f>
        <v>landsat_chips</v>
      </c>
      <c r="I286" s="4" t="str">
        <f>HYPERLINK(CONCATENATE("https://livingatlas.arcgis.com/wayback/#ext=-82.51067716118882,35.400744575753215,-82.50867716118881,35.39874457575322"), "wayback")</f>
        <v>wayback</v>
      </c>
      <c r="J286" s="9" t="s">
        <v>25</v>
      </c>
      <c r="L286" s="9" t="s">
        <v>31</v>
      </c>
      <c r="M286" s="9" t="s">
        <v>58</v>
      </c>
    </row>
    <row r="287" spans="1:13">
      <c r="A287" s="1" t="s">
        <v>45</v>
      </c>
      <c r="B287" s="1">
        <v>286</v>
      </c>
      <c r="C287" s="1">
        <v>2003</v>
      </c>
      <c r="D287" s="1">
        <v>2004</v>
      </c>
      <c r="E287" s="1">
        <v>32.223588164824037</v>
      </c>
      <c r="F287" s="1">
        <v>-92.163396159906682</v>
      </c>
      <c r="G287" s="4" t="str">
        <f>HYPERLINK(CONCATENATE("https://ee-faluhong.projects.earthengine.app/view/isp-ts-evaluation#id=286 2003-&gt;2004;lat=32.22358816482404;lon=-92.16339615990668;year=2003;bf=7;level=18;"), "landsat_time_series")</f>
        <v>landsat_time_series</v>
      </c>
      <c r="H287" s="4" t="str">
        <f>HYPERLINK(CONCATENATE("https://jstnbraaten.users.earthengine.app/view/landsat-timeseries-explorer#run=true;lon=-92.16339615990668;lat=32.22358816482404;from=01-01;to=12-31;index=NDVI;rgb=NIR%2FRED%2FGREEN;chipwidth=1;"), "landsat_chips")</f>
        <v>landsat_chips</v>
      </c>
      <c r="I287" s="4" t="str">
        <f>HYPERLINK(CONCATENATE("https://livingatlas.arcgis.com/wayback/#ext=-92.16439615990669,32.224588164824034,-92.16239615990668,32.22258816482404"), "wayback")</f>
        <v>wayback</v>
      </c>
      <c r="J287" s="9" t="s">
        <v>19</v>
      </c>
      <c r="L287" s="9" t="s">
        <v>15</v>
      </c>
    </row>
    <row r="288" spans="1:13">
      <c r="A288" s="1" t="s">
        <v>45</v>
      </c>
      <c r="B288" s="1">
        <v>287</v>
      </c>
      <c r="C288" s="1">
        <v>2007</v>
      </c>
      <c r="D288" s="1">
        <v>2008</v>
      </c>
      <c r="E288" s="1">
        <v>31.966461105057821</v>
      </c>
      <c r="F288" s="1">
        <v>-110.27335993303009</v>
      </c>
      <c r="G288" s="4" t="str">
        <f>HYPERLINK(CONCATENATE("https://ee-faluhong.projects.earthengine.app/view/isp-ts-evaluation#id=287 2007-&gt;2008;lat=31.96646110505782;lon=-110.2733599330301;year=2007;bf=7;level=18;"), "landsat_time_series")</f>
        <v>landsat_time_series</v>
      </c>
      <c r="H288" s="4" t="str">
        <f>HYPERLINK(CONCATENATE("https://jstnbraaten.users.earthengine.app/view/landsat-timeseries-explorer#run=true;lon=-110.2733599330301;lat=31.96646110505782;from=01-01;to=12-31;index=NDVI;rgb=NIR%2FRED%2FGREEN;chipwidth=1;"), "landsat_chips")</f>
        <v>landsat_chips</v>
      </c>
      <c r="I288" s="4" t="str">
        <f>HYPERLINK(CONCATENATE("https://livingatlas.arcgis.com/wayback/#ext=-110.2743599330301,31.967461105057822,-110.27235993303009,31.96546110505782"), "wayback")</f>
        <v>wayback</v>
      </c>
      <c r="J288" s="9" t="s">
        <v>25</v>
      </c>
      <c r="K288" s="9" t="s">
        <v>26</v>
      </c>
      <c r="L288" s="9" t="s">
        <v>24</v>
      </c>
    </row>
    <row r="289" spans="1:13" ht="17.149999999999999" customHeight="1">
      <c r="A289" s="1" t="s">
        <v>45</v>
      </c>
      <c r="B289" s="1">
        <v>288</v>
      </c>
      <c r="C289" s="1">
        <v>2003</v>
      </c>
      <c r="D289" s="1">
        <v>2004</v>
      </c>
      <c r="E289" s="1">
        <v>30.73718046287658</v>
      </c>
      <c r="F289" s="1">
        <v>-82.884455649548286</v>
      </c>
      <c r="G289" s="4" t="str">
        <f>HYPERLINK(CONCATENATE("https://ee-faluhong.projects.earthengine.app/view/isp-ts-evaluation#id=288 2003-&gt;2004;lat=30.73718046287658;lon=-82.88445564954829;year=2003;bf=7;level=18;"), "landsat_time_series")</f>
        <v>landsat_time_series</v>
      </c>
      <c r="H289" s="4" t="str">
        <f>HYPERLINK(CONCATENATE("https://jstnbraaten.users.earthengine.app/view/landsat-timeseries-explorer#run=true;lon=-82.88445564954829;lat=30.73718046287658;from=01-01;to=12-31;index=NDVI;rgb=NIR%2FRED%2FGREEN;chipwidth=1;"), "landsat_chips")</f>
        <v>landsat_chips</v>
      </c>
      <c r="I289" s="4" t="str">
        <f>HYPERLINK(CONCATENATE("https://livingatlas.arcgis.com/wayback/#ext=-82.88545564954829,30.73818046287658,-82.88345564954828,30.73618046287658"), "wayback")</f>
        <v>wayback</v>
      </c>
      <c r="J289" s="9" t="s">
        <v>25</v>
      </c>
      <c r="L289" s="9" t="s">
        <v>15</v>
      </c>
    </row>
    <row r="290" spans="1:13">
      <c r="A290" s="1" t="s">
        <v>45</v>
      </c>
      <c r="B290" s="1">
        <v>289</v>
      </c>
      <c r="C290" s="1">
        <v>2008</v>
      </c>
      <c r="D290" s="1">
        <v>2009</v>
      </c>
      <c r="E290" s="1">
        <v>30.702155039787229</v>
      </c>
      <c r="F290" s="1">
        <v>-83.169283538345397</v>
      </c>
      <c r="G290" s="4" t="str">
        <f>HYPERLINK(CONCATENATE("https://ee-faluhong.projects.earthengine.app/view/isp-ts-evaluation#id=289 2008-&gt;2009;lat=30.70215503978723;lon=-83.1692835383454;year=2008;bf=7;level=18;"), "landsat_time_series")</f>
        <v>landsat_time_series</v>
      </c>
      <c r="H290" s="4" t="str">
        <f>HYPERLINK(CONCATENATE("https://jstnbraaten.users.earthengine.app/view/landsat-timeseries-explorer#run=true;lon=-83.1692835383454;lat=30.70215503978723;from=01-01;to=12-31;index=NDVI;rgb=NIR%2FRED%2FGREEN;chipwidth=1;"), "landsat_chips")</f>
        <v>landsat_chips</v>
      </c>
      <c r="I290" s="4" t="str">
        <f>HYPERLINK(CONCATENATE("https://livingatlas.arcgis.com/wayback/#ext=-83.1702835383454,30.70315503978723,-83.16828353834539,30.701155039787228"), "wayback")</f>
        <v>wayback</v>
      </c>
      <c r="J290" s="9" t="s">
        <v>19</v>
      </c>
      <c r="L290" s="9" t="s">
        <v>31</v>
      </c>
    </row>
    <row r="291" spans="1:13">
      <c r="A291" s="1" t="s">
        <v>45</v>
      </c>
      <c r="B291" s="1">
        <v>290</v>
      </c>
      <c r="C291" s="1">
        <v>2017</v>
      </c>
      <c r="D291" s="1">
        <v>2018</v>
      </c>
      <c r="E291" s="1">
        <v>45.544061870499092</v>
      </c>
      <c r="F291" s="1">
        <v>-108.18561240916389</v>
      </c>
      <c r="G291" s="4" t="str">
        <f>HYPERLINK(CONCATENATE("https://ee-faluhong.projects.earthengine.app/view/isp-ts-evaluation#id=290 2017-&gt;2018;lat=45.54406187049909;lon=-108.1856124091639;year=2017;bf=7;level=18;"), "landsat_time_series")</f>
        <v>landsat_time_series</v>
      </c>
      <c r="H291" s="4" t="str">
        <f>HYPERLINK(CONCATENATE("https://jstnbraaten.users.earthengine.app/view/landsat-timeseries-explorer#run=true;lon=-108.1856124091639;lat=45.54406187049909;from=01-01;to=12-31;index=NDVI;rgb=NIR%2FRED%2FGREEN;chipwidth=1;"), "landsat_chips")</f>
        <v>landsat_chips</v>
      </c>
      <c r="I291" s="4" t="str">
        <f>HYPERLINK(CONCATENATE("https://livingatlas.arcgis.com/wayback/#ext=-108.1866124091639,45.54506187049909,-108.18461240916389,45.543061870499095"), "wayback")</f>
        <v>wayback</v>
      </c>
      <c r="J291" s="9" t="s">
        <v>19</v>
      </c>
      <c r="L291" s="9" t="s">
        <v>15</v>
      </c>
    </row>
    <row r="292" spans="1:13">
      <c r="A292" s="1" t="s">
        <v>45</v>
      </c>
      <c r="B292" s="1">
        <v>291</v>
      </c>
      <c r="C292" s="1">
        <v>2006</v>
      </c>
      <c r="D292" s="1">
        <v>2007</v>
      </c>
      <c r="E292" s="1">
        <v>42.516360709696421</v>
      </c>
      <c r="F292" s="1">
        <v>-87.266774186571013</v>
      </c>
      <c r="G292" s="4" t="str">
        <f>HYPERLINK(CONCATENATE("https://ee-faluhong.projects.earthengine.app/view/isp-ts-evaluation#id=291 2006-&gt;2007;lat=42.51636070969642;lon=-87.26677418657101;year=2006;bf=7;level=18;"), "landsat_time_series")</f>
        <v>landsat_time_series</v>
      </c>
      <c r="H292" s="4" t="str">
        <f>HYPERLINK(CONCATENATE("https://jstnbraaten.users.earthengine.app/view/landsat-timeseries-explorer#run=true;lon=-87.26677418657101;lat=42.51636070969642;from=01-01;to=12-31;index=NDVI;rgb=NIR%2FRED%2FGREEN;chipwidth=1;"), "landsat_chips")</f>
        <v>landsat_chips</v>
      </c>
      <c r="I292" s="4" t="str">
        <f>HYPERLINK(CONCATENATE("https://livingatlas.arcgis.com/wayback/#ext=-87.26777418657102,42.51736070969642,-87.26577418657101,42.515360709696424"), "wayback")</f>
        <v>wayback</v>
      </c>
      <c r="J292" s="9" t="s">
        <v>19</v>
      </c>
      <c r="L292" s="9" t="s">
        <v>15</v>
      </c>
    </row>
    <row r="293" spans="1:13">
      <c r="A293" s="1" t="s">
        <v>45</v>
      </c>
      <c r="B293" s="1">
        <v>292</v>
      </c>
      <c r="C293" s="1">
        <v>2009</v>
      </c>
      <c r="D293" s="1">
        <v>2010</v>
      </c>
      <c r="E293" s="1">
        <v>40.774899698109643</v>
      </c>
      <c r="F293" s="1">
        <v>-73.991501080375826</v>
      </c>
      <c r="G293" s="4" t="str">
        <f>HYPERLINK(CONCATENATE("https://ee-faluhong.projects.earthengine.app/view/isp-ts-evaluation#id=292 2009-&gt;2010;lat=40.77489969810964;lon=-73.99150108037583;year=2009;bf=7;level=18;"), "landsat_time_series")</f>
        <v>landsat_time_series</v>
      </c>
      <c r="H293" s="4" t="str">
        <f>HYPERLINK(CONCATENATE("https://jstnbraaten.users.earthengine.app/view/landsat-timeseries-explorer#run=true;lon=-73.99150108037583;lat=40.77489969810964;from=01-01;to=12-31;index=NDVI;rgb=NIR%2FRED%2FGREEN;chipwidth=1;"), "landsat_chips")</f>
        <v>landsat_chips</v>
      </c>
      <c r="I293" s="4" t="str">
        <f>HYPERLINK(CONCATENATE("https://livingatlas.arcgis.com/wayback/#ext=-73.99250108037583,40.77589969810964,-73.99050108037582,40.773899698109645"), "wayback")</f>
        <v>wayback</v>
      </c>
      <c r="J293" s="9" t="s">
        <v>44</v>
      </c>
      <c r="L293" s="9" t="s">
        <v>24</v>
      </c>
    </row>
    <row r="294" spans="1:13">
      <c r="A294" s="1" t="s">
        <v>45</v>
      </c>
      <c r="B294" s="1">
        <v>293</v>
      </c>
      <c r="C294" s="1">
        <v>2019</v>
      </c>
      <c r="D294" s="1">
        <v>2020</v>
      </c>
      <c r="E294" s="1">
        <v>31.257273464978201</v>
      </c>
      <c r="F294" s="1">
        <v>-84.5775126222062</v>
      </c>
      <c r="G294" s="4" t="str">
        <f>HYPERLINK(CONCATENATE("https://ee-faluhong.projects.earthengine.app/view/isp-ts-evaluation#id=293 2019-&gt;2020;lat=31.2572734649782;lon=-84.5775126222062;year=2019;bf=7;level=18;"), "landsat_time_series")</f>
        <v>landsat_time_series</v>
      </c>
      <c r="H294" s="4" t="str">
        <f>HYPERLINK(CONCATENATE("https://jstnbraaten.users.earthengine.app/view/landsat-timeseries-explorer#run=true;lon=-84.5775126222062;lat=31.2572734649782;from=01-01;to=12-31;index=NDVI;rgb=NIR%2FRED%2FGREEN;chipwidth=1;"), "landsat_chips")</f>
        <v>landsat_chips</v>
      </c>
      <c r="I294" s="4" t="str">
        <f>HYPERLINK(CONCATENATE("https://livingatlas.arcgis.com/wayback/#ext=-84.5785126222062,31.258273464978203,-84.5765126222062,31.2562734649782"), "wayback")</f>
        <v>wayback</v>
      </c>
      <c r="J294" s="9" t="s">
        <v>17</v>
      </c>
      <c r="L294" s="9" t="s">
        <v>15</v>
      </c>
    </row>
    <row r="295" spans="1:13">
      <c r="A295" s="1" t="s">
        <v>45</v>
      </c>
      <c r="B295" s="1">
        <v>294</v>
      </c>
      <c r="C295" s="1">
        <v>2006</v>
      </c>
      <c r="D295" s="1">
        <v>2007</v>
      </c>
      <c r="E295" s="1">
        <v>31.155688411522618</v>
      </c>
      <c r="F295" s="1">
        <v>-82.403214873065863</v>
      </c>
      <c r="G295" s="4" t="str">
        <f>HYPERLINK(CONCATENATE("https://ee-faluhong.projects.earthengine.app/view/isp-ts-evaluation#id=294 2006-&gt;2007;lat=31.15568841152262;lon=-82.40321487306586;year=2006;bf=7;level=18;"), "landsat_time_series")</f>
        <v>landsat_time_series</v>
      </c>
      <c r="H295" s="4" t="str">
        <f>HYPERLINK(CONCATENATE("https://jstnbraaten.users.earthengine.app/view/landsat-timeseries-explorer#run=true;lon=-82.40321487306586;lat=31.15568841152262;from=01-01;to=12-31;index=NDVI;rgb=NIR%2FRED%2FGREEN;chipwidth=1;"), "landsat_chips")</f>
        <v>landsat_chips</v>
      </c>
      <c r="I295" s="4" t="str">
        <f>HYPERLINK(CONCATENATE("https://livingatlas.arcgis.com/wayback/#ext=-82.40421487306587,31.15668841152262,-82.40221487306586,31.154688411522617"), "wayback")</f>
        <v>wayback</v>
      </c>
      <c r="J295" s="9" t="s">
        <v>25</v>
      </c>
      <c r="K295" s="9" t="s">
        <v>26</v>
      </c>
      <c r="L295" s="9" t="s">
        <v>15</v>
      </c>
    </row>
    <row r="296" spans="1:13">
      <c r="A296" s="1" t="s">
        <v>45</v>
      </c>
      <c r="B296" s="1">
        <v>295</v>
      </c>
      <c r="C296" s="1">
        <v>2000</v>
      </c>
      <c r="D296" s="1">
        <v>2001</v>
      </c>
      <c r="E296" s="1">
        <v>30.453637650752189</v>
      </c>
      <c r="F296" s="1">
        <v>-97.846385031086825</v>
      </c>
      <c r="G296" s="4" t="str">
        <f>HYPERLINK(CONCATENATE("https://ee-faluhong.projects.earthengine.app/view/isp-ts-evaluation#id=295 2000-&gt;2001;lat=30.45363765075219;lon=-97.84638503108683;year=2000;bf=7;level=18;"), "landsat_time_series")</f>
        <v>landsat_time_series</v>
      </c>
      <c r="H296" s="4" t="str">
        <f>HYPERLINK(CONCATENATE("https://jstnbraaten.users.earthengine.app/view/landsat-timeseries-explorer#run=true;lon=-97.84638503108683;lat=30.45363765075219;from=01-01;to=12-31;index=NDVI;rgb=NIR%2FRED%2FGREEN;chipwidth=1;"), "landsat_chips")</f>
        <v>landsat_chips</v>
      </c>
      <c r="I296" s="4" t="str">
        <f>HYPERLINK(CONCATENATE("https://livingatlas.arcgis.com/wayback/#ext=-97.84738503108683,30.45463765075219,-97.84538503108682,30.452637650752187"), "wayback")</f>
        <v>wayback</v>
      </c>
      <c r="J296" s="9" t="s">
        <v>34</v>
      </c>
      <c r="L296" s="9" t="s">
        <v>31</v>
      </c>
    </row>
    <row r="297" spans="1:13">
      <c r="A297" s="1" t="s">
        <v>45</v>
      </c>
      <c r="B297" s="1">
        <v>296</v>
      </c>
      <c r="C297" s="1">
        <v>2015</v>
      </c>
      <c r="D297" s="1">
        <v>2016</v>
      </c>
      <c r="E297" s="1">
        <v>25.765293537118829</v>
      </c>
      <c r="F297" s="1">
        <v>-80.453816090243933</v>
      </c>
      <c r="G297" s="4" t="str">
        <f>HYPERLINK(CONCATENATE("https://ee-faluhong.projects.earthengine.app/view/isp-ts-evaluation#id=296 2015-&gt;2016;lat=25.76529353711883;lon=-80.45381609024393;year=2015;bf=7;level=18;"), "landsat_time_series")</f>
        <v>landsat_time_series</v>
      </c>
      <c r="H297" s="4" t="str">
        <f>HYPERLINK(CONCATENATE("https://jstnbraaten.users.earthengine.app/view/landsat-timeseries-explorer#run=true;lon=-80.45381609024393;lat=25.76529353711883;from=01-01;to=12-31;index=NDVI;rgb=NIR%2FRED%2FGREEN;chipwidth=1;"), "landsat_chips")</f>
        <v>landsat_chips</v>
      </c>
      <c r="I297" s="4" t="str">
        <f>HYPERLINK(CONCATENATE("https://livingatlas.arcgis.com/wayback/#ext=-80.45481609024394,25.76629353711883,-80.45281609024393,25.764293537118828"), "wayback")</f>
        <v>wayback</v>
      </c>
      <c r="J297" s="9" t="s">
        <v>19</v>
      </c>
      <c r="L297" s="9" t="s">
        <v>15</v>
      </c>
    </row>
    <row r="298" spans="1:13">
      <c r="A298" s="1" t="s">
        <v>45</v>
      </c>
      <c r="B298" s="1">
        <v>297</v>
      </c>
      <c r="C298" s="1">
        <v>2015</v>
      </c>
      <c r="D298" s="1">
        <v>2016</v>
      </c>
      <c r="E298" s="1">
        <v>42.415753069558527</v>
      </c>
      <c r="F298" s="1">
        <v>-83.425461299756734</v>
      </c>
      <c r="G298" s="4" t="str">
        <f>HYPERLINK(CONCATENATE("https://ee-faluhong.projects.earthengine.app/view/isp-ts-evaluation#id=297 2015-&gt;2016;lat=42.41575306955853;lon=-83.42546129975673;year=2015;bf=7;level=18;"), "landsat_time_series")</f>
        <v>landsat_time_series</v>
      </c>
      <c r="H298" s="4" t="str">
        <f>HYPERLINK(CONCATENATE("https://jstnbraaten.users.earthengine.app/view/landsat-timeseries-explorer#run=true;lon=-83.42546129975673;lat=42.41575306955853;from=01-01;to=12-31;index=NDVI;rgb=NIR%2FRED%2FGREEN;chipwidth=1;"), "landsat_chips")</f>
        <v>landsat_chips</v>
      </c>
      <c r="I298" s="4" t="str">
        <f>HYPERLINK(CONCATENATE("https://livingatlas.arcgis.com/wayback/#ext=-83.42646129975674,42.416753069558524,-83.42446129975673,42.41475306955853"), "wayback")</f>
        <v>wayback</v>
      </c>
      <c r="J298" s="9" t="s">
        <v>14</v>
      </c>
      <c r="L298" s="9" t="s">
        <v>15</v>
      </c>
    </row>
    <row r="299" spans="1:13">
      <c r="A299" s="1" t="s">
        <v>45</v>
      </c>
      <c r="B299" s="1">
        <v>298</v>
      </c>
      <c r="C299" s="1">
        <v>2015</v>
      </c>
      <c r="D299" s="1">
        <v>2016</v>
      </c>
      <c r="E299" s="1">
        <v>47.459252516231658</v>
      </c>
      <c r="F299" s="1">
        <v>-122.3577050082678</v>
      </c>
      <c r="G299" s="4" t="str">
        <f>HYPERLINK(CONCATENATE("https://ee-faluhong.projects.earthengine.app/view/isp-ts-evaluation#id=298 2015-&gt;2016;lat=47.45925251623166;lon=-122.3577050082678;year=2015;bf=7;level=18;"), "landsat_time_series")</f>
        <v>landsat_time_series</v>
      </c>
      <c r="H299" s="4" t="str">
        <f>HYPERLINK(CONCATENATE("https://jstnbraaten.users.earthengine.app/view/landsat-timeseries-explorer#run=true;lon=-122.3577050082678;lat=47.45925251623166;from=01-01;to=12-31;index=NDVI;rgb=NIR%2FRED%2FGREEN;chipwidth=1;"), "landsat_chips")</f>
        <v>landsat_chips</v>
      </c>
      <c r="I299" s="4" t="str">
        <f>HYPERLINK(CONCATENATE("https://livingatlas.arcgis.com/wayback/#ext=-122.3587050082678,47.460252516231655,-122.3567050082678,47.45825251623166"), "wayback")</f>
        <v>wayback</v>
      </c>
      <c r="J299" s="9" t="s">
        <v>25</v>
      </c>
      <c r="K299" s="9" t="s">
        <v>26</v>
      </c>
      <c r="L299" s="9" t="s">
        <v>24</v>
      </c>
      <c r="M299" s="9" t="s">
        <v>65</v>
      </c>
    </row>
    <row r="300" spans="1:13">
      <c r="A300" s="1" t="s">
        <v>45</v>
      </c>
      <c r="B300" s="1">
        <v>299</v>
      </c>
      <c r="C300" s="1">
        <v>2018</v>
      </c>
      <c r="D300" s="1">
        <v>2019</v>
      </c>
      <c r="E300" s="1">
        <v>34.188558352331228</v>
      </c>
      <c r="F300" s="1">
        <v>-115.6676933629855</v>
      </c>
      <c r="G300" s="4" t="str">
        <f>HYPERLINK(CONCATENATE("https://ee-faluhong.projects.earthengine.app/view/isp-ts-evaluation#id=299 2018-&gt;2019;lat=34.18855835233123;lon=-115.6676933629855;year=2018;bf=7;level=18;"), "landsat_time_series")</f>
        <v>landsat_time_series</v>
      </c>
      <c r="H300" s="4" t="str">
        <f>HYPERLINK(CONCATENATE("https://jstnbraaten.users.earthengine.app/view/landsat-timeseries-explorer#run=true;lon=-115.6676933629855;lat=34.18855835233123;from=01-01;to=12-31;index=NDVI;rgb=NIR%2FRED%2FGREEN;chipwidth=1;"), "landsat_chips")</f>
        <v>landsat_chips</v>
      </c>
      <c r="I300" s="4" t="str">
        <f>HYPERLINK(CONCATENATE("https://livingatlas.arcgis.com/wayback/#ext=-115.66869336298551,34.189558352331225,-115.6666933629855,34.18755835233123"), "wayback")</f>
        <v>wayback</v>
      </c>
      <c r="J300" s="9" t="s">
        <v>19</v>
      </c>
      <c r="L300" s="9" t="s">
        <v>15</v>
      </c>
    </row>
    <row r="301" spans="1:13">
      <c r="A301" s="1" t="s">
        <v>45</v>
      </c>
      <c r="B301" s="1">
        <v>300</v>
      </c>
      <c r="C301" s="1">
        <v>2010</v>
      </c>
      <c r="D301" s="1">
        <v>2011</v>
      </c>
      <c r="E301" s="1">
        <v>38.169921156310849</v>
      </c>
      <c r="F301" s="1">
        <v>-104.641220666552</v>
      </c>
      <c r="G301" s="4" t="str">
        <f>HYPERLINK(CONCATENATE("https://ee-faluhong.projects.earthengine.app/view/isp-ts-evaluation#id=300 2010-&gt;2011;lat=38.16992115631085;lon=-104.641220666552;year=2010;bf=7;level=18;"), "landsat_time_series")</f>
        <v>landsat_time_series</v>
      </c>
      <c r="H301" s="4" t="str">
        <f>HYPERLINK(CONCATENATE("https://jstnbraaten.users.earthengine.app/view/landsat-timeseries-explorer#run=true;lon=-104.641220666552;lat=38.16992115631085;from=01-01;to=12-31;index=NDVI;rgb=NIR%2FRED%2FGREEN;chipwidth=1;"), "landsat_chips")</f>
        <v>landsat_chips</v>
      </c>
      <c r="I301" s="4" t="str">
        <f>HYPERLINK(CONCATENATE("https://livingatlas.arcgis.com/wayback/#ext=-104.642220666552,38.17092115631085,-104.640220666552,38.16892115631085"), "wayback")</f>
        <v>wayback</v>
      </c>
      <c r="J301" s="9" t="s">
        <v>19</v>
      </c>
      <c r="L301" s="9" t="s">
        <v>15</v>
      </c>
    </row>
    <row r="302" spans="1:13">
      <c r="A302" s="1" t="s">
        <v>13</v>
      </c>
      <c r="B302" s="1">
        <v>301</v>
      </c>
      <c r="C302" s="1">
        <v>2012</v>
      </c>
      <c r="D302" s="1">
        <v>2013</v>
      </c>
      <c r="E302" s="1">
        <v>30.163675820708161</v>
      </c>
      <c r="F302" s="1">
        <v>-95.476666836915811</v>
      </c>
      <c r="G302" s="4" t="str">
        <f>HYPERLINK(CONCATENATE("https://ee-faluhong.projects.earthengine.app/view/isp-ts-evaluation#id=301 2012-&gt;2013;lat=30.16367582070816;lon=-95.47666683691581;year=2012;bf=7;level=18;"), "landsat_time_series")</f>
        <v>landsat_time_series</v>
      </c>
      <c r="H302" s="4" t="str">
        <f>HYPERLINK(CONCATENATE("https://jstnbraaten.users.earthengine.app/view/landsat-timeseries-explorer#run=true;lon=-95.47666683691581;lat=30.16367582070816;from=01-01;to=12-31;index=NDVI;rgb=NIR%2FRED%2FGREEN;chipwidth=1;"), "landsat_chips")</f>
        <v>landsat_chips</v>
      </c>
      <c r="I302" s="4" t="str">
        <f>HYPERLINK(CONCATENATE("https://livingatlas.arcgis.com/wayback/#ext=-95.47766683691582,30.164675820708162,-95.4756668369158,30.16267582070816"), "wayback")</f>
        <v>wayback</v>
      </c>
      <c r="J302" s="9" t="s">
        <v>14</v>
      </c>
      <c r="L302" s="9" t="s">
        <v>15</v>
      </c>
      <c r="M302" s="9" t="s">
        <v>75</v>
      </c>
    </row>
    <row r="303" spans="1:13">
      <c r="A303" s="1" t="s">
        <v>13</v>
      </c>
      <c r="B303" s="1">
        <v>302</v>
      </c>
      <c r="C303" s="1">
        <v>2019</v>
      </c>
      <c r="D303" s="1">
        <v>2020</v>
      </c>
      <c r="E303" s="1">
        <v>32.451750652133512</v>
      </c>
      <c r="F303" s="1">
        <v>-84.944589975024854</v>
      </c>
      <c r="G303" s="4" t="str">
        <f>HYPERLINK(CONCATENATE("https://ee-faluhong.projects.earthengine.app/view/isp-ts-evaluation#id=302 2019-&gt;2020;lat=32.45175065213351;lon=-84.94458997502485;year=2019;bf=7;level=18;"), "landsat_time_series")</f>
        <v>landsat_time_series</v>
      </c>
      <c r="H303" s="4" t="str">
        <f>HYPERLINK(CONCATENATE("https://jstnbraaten.users.earthengine.app/view/landsat-timeseries-explorer#run=true;lon=-84.94458997502485;lat=32.45175065213351;from=01-01;to=12-31;index=NDVI;rgb=NIR%2FRED%2FGREEN;chipwidth=1;"), "landsat_chips")</f>
        <v>landsat_chips</v>
      </c>
      <c r="I303" s="4" t="str">
        <f>HYPERLINK(CONCATENATE("https://livingatlas.arcgis.com/wayback/#ext=-84.94558997502486,32.45275065213351,-84.94358997502485,32.450750652133515"), "wayback")</f>
        <v>wayback</v>
      </c>
      <c r="J303" s="9" t="s">
        <v>44</v>
      </c>
      <c r="L303" s="9" t="s">
        <v>24</v>
      </c>
      <c r="M303" s="9" t="s">
        <v>76</v>
      </c>
    </row>
    <row r="304" spans="1:13">
      <c r="A304" s="1" t="s">
        <v>13</v>
      </c>
      <c r="B304" s="1">
        <v>303</v>
      </c>
      <c r="C304" s="1">
        <v>2003</v>
      </c>
      <c r="D304" s="1">
        <v>2004</v>
      </c>
      <c r="E304" s="1">
        <v>41.486143934399117</v>
      </c>
      <c r="F304" s="1">
        <v>-88.146730173346327</v>
      </c>
      <c r="G304" s="4" t="str">
        <f>HYPERLINK(CONCATENATE("https://ee-faluhong.projects.earthengine.app/view/isp-ts-evaluation#id=303 2003-&gt;2004;lat=41.48614393439912;lon=-88.14673017334633;year=2003;bf=7;level=18;"), "landsat_time_series")</f>
        <v>landsat_time_series</v>
      </c>
      <c r="H304" s="4" t="str">
        <f>HYPERLINK(CONCATENATE("https://jstnbraaten.users.earthengine.app/view/landsat-timeseries-explorer#run=true;lon=-88.14673017334633;lat=41.48614393439912;from=01-01;to=12-31;index=NDVI;rgb=NIR%2FRED%2FGREEN;chipwidth=1;"), "landsat_chips")</f>
        <v>landsat_chips</v>
      </c>
      <c r="I304" s="4" t="str">
        <f>HYPERLINK(CONCATENATE("https://livingatlas.arcgis.com/wayback/#ext=-88.14773017334633,41.487143934399114,-88.14573017334632,41.48514393439912"), "wayback")</f>
        <v>wayback</v>
      </c>
      <c r="J304" s="9" t="s">
        <v>14</v>
      </c>
      <c r="L304" s="9" t="s">
        <v>15</v>
      </c>
      <c r="M304" s="9" t="s">
        <v>77</v>
      </c>
    </row>
    <row r="305" spans="1:13">
      <c r="A305" s="1" t="s">
        <v>13</v>
      </c>
      <c r="B305" s="1">
        <v>304</v>
      </c>
      <c r="C305" s="1">
        <v>2012</v>
      </c>
      <c r="D305" s="1">
        <v>2013</v>
      </c>
      <c r="E305" s="1">
        <v>36.965292740748133</v>
      </c>
      <c r="F305" s="1">
        <v>-80.569968424681662</v>
      </c>
      <c r="G305" s="4" t="str">
        <f>HYPERLINK(CONCATENATE("https://ee-faluhong.projects.earthengine.app/view/isp-ts-evaluation#id=304 2012-&gt;2013;lat=36.96529274074813;lon=-80.56996842468166;year=2012;bf=7;level=18;"), "landsat_time_series")</f>
        <v>landsat_time_series</v>
      </c>
      <c r="H305" s="4" t="str">
        <f>HYPERLINK(CONCATENATE("https://jstnbraaten.users.earthengine.app/view/landsat-timeseries-explorer#run=true;lon=-80.56996842468166;lat=36.96529274074813;from=01-01;to=12-31;index=NDVI;rgb=NIR%2FRED%2FGREEN;chipwidth=1;"), "landsat_chips")</f>
        <v>landsat_chips</v>
      </c>
      <c r="I305" s="4" t="str">
        <f>HYPERLINK(CONCATENATE("https://livingatlas.arcgis.com/wayback/#ext=-80.57096842468167,36.96629274074813,-80.56896842468166,36.964292740748135"), "wayback")</f>
        <v>wayback</v>
      </c>
      <c r="J305" s="9" t="s">
        <v>19</v>
      </c>
      <c r="L305" s="9" t="s">
        <v>15</v>
      </c>
      <c r="M305" s="9" t="s">
        <v>20</v>
      </c>
    </row>
    <row r="306" spans="1:13">
      <c r="A306" s="1" t="s">
        <v>13</v>
      </c>
      <c r="B306" s="1">
        <v>305</v>
      </c>
      <c r="C306" s="1">
        <v>2004</v>
      </c>
      <c r="D306" s="1">
        <v>2005</v>
      </c>
      <c r="E306" s="1">
        <v>42.017265725554068</v>
      </c>
      <c r="F306" s="1">
        <v>-120.4766338181541</v>
      </c>
      <c r="G306" s="4" t="str">
        <f>HYPERLINK(CONCATENATE("https://ee-faluhong.projects.earthengine.app/view/isp-ts-evaluation#id=305 2004-&gt;2005;lat=42.01726572555407;lon=-120.4766338181541;year=2004;bf=7;level=18;"), "landsat_time_series")</f>
        <v>landsat_time_series</v>
      </c>
      <c r="H306" s="4" t="str">
        <f>HYPERLINK(CONCATENATE("https://jstnbraaten.users.earthengine.app/view/landsat-timeseries-explorer#run=true;lon=-120.4766338181541;lat=42.01726572555407;from=01-01;to=12-31;index=NDVI;rgb=NIR%2FRED%2FGREEN;chipwidth=1;"), "landsat_chips")</f>
        <v>landsat_chips</v>
      </c>
      <c r="I306" s="4" t="str">
        <f>HYPERLINK(CONCATENATE("https://livingatlas.arcgis.com/wayback/#ext=-120.4776338181541,42.018265725554066,-120.4756338181541,42.01626572555407"), "wayback")</f>
        <v>wayback</v>
      </c>
      <c r="J306" s="9" t="s">
        <v>19</v>
      </c>
      <c r="L306" s="9" t="s">
        <v>15</v>
      </c>
      <c r="M306" s="9" t="s">
        <v>78</v>
      </c>
    </row>
    <row r="307" spans="1:13">
      <c r="A307" s="1" t="s">
        <v>13</v>
      </c>
      <c r="B307" s="1">
        <v>306</v>
      </c>
      <c r="C307" s="1">
        <v>2003</v>
      </c>
      <c r="D307" s="1">
        <v>2004</v>
      </c>
      <c r="E307" s="1">
        <v>31.266401828635601</v>
      </c>
      <c r="F307" s="1">
        <v>-97.327413033223905</v>
      </c>
      <c r="G307" s="4" t="str">
        <f>HYPERLINK(CONCATENATE("https://ee-faluhong.projects.earthengine.app/view/isp-ts-evaluation#id=306 2003-&gt;2004;lat=31.2664018286356;lon=-97.3274130332239;year=2003;bf=7;level=18;"), "landsat_time_series")</f>
        <v>landsat_time_series</v>
      </c>
      <c r="H307" s="4" t="str">
        <f>HYPERLINK(CONCATENATE("https://jstnbraaten.users.earthengine.app/view/landsat-timeseries-explorer#run=true;lon=-97.3274130332239;lat=31.2664018286356;from=01-01;to=12-31;index=NDVI;rgb=NIR%2FRED%2FGREEN;chipwidth=1;"), "landsat_chips")</f>
        <v>landsat_chips</v>
      </c>
      <c r="I307" s="4" t="str">
        <f>HYPERLINK(CONCATENATE("https://livingatlas.arcgis.com/wayback/#ext=-97.32841303322391,31.267401828635602,-97.3264130332239,31.2654018286356"), "wayback")</f>
        <v>wayback</v>
      </c>
      <c r="J307" s="9" t="s">
        <v>19</v>
      </c>
      <c r="L307" s="9" t="s">
        <v>15</v>
      </c>
      <c r="M307" s="9" t="s">
        <v>22</v>
      </c>
    </row>
    <row r="308" spans="1:13">
      <c r="A308" s="1" t="s">
        <v>13</v>
      </c>
      <c r="B308" s="1">
        <v>307</v>
      </c>
      <c r="C308" s="1">
        <v>2002</v>
      </c>
      <c r="D308" s="1">
        <v>2003</v>
      </c>
      <c r="E308" s="1">
        <v>33.643436052199739</v>
      </c>
      <c r="F308" s="1">
        <v>-105.8651703360366</v>
      </c>
      <c r="G308" s="4" t="str">
        <f>HYPERLINK(CONCATENATE("https://ee-faluhong.projects.earthengine.app/view/isp-ts-evaluation#id=307 2002-&gt;2003;lat=33.64343605219974;lon=-105.8651703360366;year=2002;bf=7;level=18;"), "landsat_time_series")</f>
        <v>landsat_time_series</v>
      </c>
      <c r="H308" s="4" t="str">
        <f>HYPERLINK(CONCATENATE("https://jstnbraaten.users.earthengine.app/view/landsat-timeseries-explorer#run=true;lon=-105.8651703360366;lat=33.64343605219974;from=01-01;to=12-31;index=NDVI;rgb=NIR%2FRED%2FGREEN;chipwidth=1;"), "landsat_chips")</f>
        <v>landsat_chips</v>
      </c>
      <c r="I308" s="4" t="str">
        <f>HYPERLINK(CONCATENATE("https://livingatlas.arcgis.com/wayback/#ext=-105.8661703360366,33.64443605219974,-105.8641703360366,33.64243605219974"), "wayback")</f>
        <v>wayback</v>
      </c>
      <c r="J308" s="9" t="s">
        <v>34</v>
      </c>
      <c r="L308" s="9" t="s">
        <v>24</v>
      </c>
      <c r="M308" s="9" t="s">
        <v>79</v>
      </c>
    </row>
    <row r="309" spans="1:13">
      <c r="A309" s="1" t="s">
        <v>13</v>
      </c>
      <c r="B309" s="1">
        <v>308</v>
      </c>
      <c r="C309" s="1">
        <v>2002</v>
      </c>
      <c r="D309" s="1">
        <v>2003</v>
      </c>
      <c r="E309" s="1">
        <v>31.972207422672909</v>
      </c>
      <c r="F309" s="1">
        <v>-93.97231575481166</v>
      </c>
      <c r="G309" s="4" t="str">
        <f>HYPERLINK(CONCATENATE("https://ee-faluhong.projects.earthengine.app/view/isp-ts-evaluation#id=308 2002-&gt;2003;lat=31.97220742267291;lon=-93.97231575481166;year=2002;bf=7;level=18;"), "landsat_time_series")</f>
        <v>landsat_time_series</v>
      </c>
      <c r="H309" s="4" t="str">
        <f>HYPERLINK(CONCATENATE("https://jstnbraaten.users.earthengine.app/view/landsat-timeseries-explorer#run=true;lon=-93.97231575481166;lat=31.97220742267291;from=01-01;to=12-31;index=NDVI;rgb=NIR%2FRED%2FGREEN;chipwidth=1;"), "landsat_chips")</f>
        <v>landsat_chips</v>
      </c>
      <c r="I309" s="4" t="str">
        <f>HYPERLINK(CONCATENATE("https://livingatlas.arcgis.com/wayback/#ext=-93.97331575481167,31.97320742267291,-93.97131575481166,31.971207422672908"), "wayback")</f>
        <v>wayback</v>
      </c>
      <c r="J309" s="9" t="s">
        <v>19</v>
      </c>
      <c r="L309" s="9" t="s">
        <v>15</v>
      </c>
      <c r="M309" s="9" t="s">
        <v>20</v>
      </c>
    </row>
    <row r="310" spans="1:13">
      <c r="A310" s="1" t="s">
        <v>13</v>
      </c>
      <c r="B310" s="1">
        <v>309</v>
      </c>
      <c r="C310" s="1">
        <v>2015</v>
      </c>
      <c r="D310" s="1">
        <v>2016</v>
      </c>
      <c r="E310" s="1">
        <v>43.784867591872882</v>
      </c>
      <c r="F310" s="1">
        <v>-98.38848880815317</v>
      </c>
      <c r="G310" s="4" t="str">
        <f>HYPERLINK(CONCATENATE("https://ee-faluhong.projects.earthengine.app/view/isp-ts-evaluation#id=309 2015-&gt;2016;lat=43.78486759187288;lon=-98.38848880815317;year=2015;bf=7;level=18;"), "landsat_time_series")</f>
        <v>landsat_time_series</v>
      </c>
      <c r="H310" s="4" t="str">
        <f>HYPERLINK(CONCATENATE("https://jstnbraaten.users.earthengine.app/view/landsat-timeseries-explorer#run=true;lon=-98.38848880815317;lat=43.78486759187288;from=01-01;to=12-31;index=NDVI;rgb=NIR%2FRED%2FGREEN;chipwidth=1;"), "landsat_chips")</f>
        <v>landsat_chips</v>
      </c>
      <c r="I310" s="4" t="str">
        <f>HYPERLINK(CONCATENATE("https://livingatlas.arcgis.com/wayback/#ext=-98.38948880815317,43.78586759187288,-98.38748880815317,43.783867591872884"), "wayback")</f>
        <v>wayback</v>
      </c>
      <c r="J310" s="9" t="s">
        <v>19</v>
      </c>
      <c r="L310" s="9" t="s">
        <v>15</v>
      </c>
      <c r="M310" s="9" t="s">
        <v>22</v>
      </c>
    </row>
    <row r="311" spans="1:13">
      <c r="A311" s="1" t="s">
        <v>13</v>
      </c>
      <c r="B311" s="1">
        <v>310</v>
      </c>
      <c r="C311" s="1">
        <v>2015</v>
      </c>
      <c r="D311" s="1">
        <v>2016</v>
      </c>
      <c r="E311" s="1">
        <v>43.936840112803807</v>
      </c>
      <c r="F311" s="1">
        <v>-111.24921725014011</v>
      </c>
      <c r="G311" s="4" t="str">
        <f>HYPERLINK(CONCATENATE("https://ee-faluhong.projects.earthengine.app/view/isp-ts-evaluation#id=310 2015-&gt;2016;lat=43.93684011280381;lon=-111.2492172501401;year=2015;bf=7;level=18;"), "landsat_time_series")</f>
        <v>landsat_time_series</v>
      </c>
      <c r="H311" s="4" t="str">
        <f>HYPERLINK(CONCATENATE("https://jstnbraaten.users.earthengine.app/view/landsat-timeseries-explorer#run=true;lon=-111.2492172501401;lat=43.93684011280381;from=01-01;to=12-31;index=NDVI;rgb=NIR%2FRED%2FGREEN;chipwidth=1;"), "landsat_chips")</f>
        <v>landsat_chips</v>
      </c>
      <c r="I311" s="4" t="str">
        <f>HYPERLINK(CONCATENATE("https://livingatlas.arcgis.com/wayback/#ext=-111.25021725014011,43.937840112803805,-111.2482172501401,43.93584011280381"), "wayback")</f>
        <v>wayback</v>
      </c>
      <c r="J311" s="9" t="s">
        <v>19</v>
      </c>
      <c r="L311" s="9" t="s">
        <v>15</v>
      </c>
      <c r="M311" s="9" t="s">
        <v>33</v>
      </c>
    </row>
    <row r="312" spans="1:13">
      <c r="A312" s="1" t="s">
        <v>13</v>
      </c>
      <c r="B312" s="1">
        <v>311</v>
      </c>
      <c r="C312" s="1">
        <v>2017</v>
      </c>
      <c r="D312" s="1">
        <v>2018</v>
      </c>
      <c r="E312" s="1">
        <v>33.528209481645384</v>
      </c>
      <c r="F312" s="1">
        <v>-79.539008940982143</v>
      </c>
      <c r="G312" s="4" t="str">
        <f>HYPERLINK(CONCATENATE("https://ee-faluhong.projects.earthengine.app/view/isp-ts-evaluation#id=311 2017-&gt;2018;lat=33.52820948164538;lon=-79.53900894098214;year=2017;bf=7;level=18;"), "landsat_time_series")</f>
        <v>landsat_time_series</v>
      </c>
      <c r="H312" s="4" t="str">
        <f>HYPERLINK(CONCATENATE("https://jstnbraaten.users.earthengine.app/view/landsat-timeseries-explorer#run=true;lon=-79.53900894098214;lat=33.52820948164538;from=01-01;to=12-31;index=NDVI;rgb=NIR%2FRED%2FGREEN;chipwidth=1;"), "landsat_chips")</f>
        <v>landsat_chips</v>
      </c>
      <c r="I312" s="4" t="str">
        <f>HYPERLINK(CONCATENATE("https://livingatlas.arcgis.com/wayback/#ext=-79.54000894098215,33.52920948164538,-79.53800894098214,33.527209481645386"), "wayback")</f>
        <v>wayback</v>
      </c>
      <c r="J312" s="9" t="s">
        <v>25</v>
      </c>
      <c r="K312" s="9" t="s">
        <v>26</v>
      </c>
      <c r="L312" s="9" t="s">
        <v>24</v>
      </c>
      <c r="M312" s="9" t="s">
        <v>80</v>
      </c>
    </row>
    <row r="313" spans="1:13">
      <c r="A313" s="1" t="s">
        <v>13</v>
      </c>
      <c r="B313" s="1">
        <v>312</v>
      </c>
      <c r="C313" s="1">
        <v>2001</v>
      </c>
      <c r="D313" s="1">
        <v>2002</v>
      </c>
      <c r="E313" s="1">
        <v>30.61861976335484</v>
      </c>
      <c r="F313" s="1">
        <v>-84.938755909507393</v>
      </c>
      <c r="G313" s="4" t="str">
        <f>HYPERLINK(CONCATENATE("https://ee-faluhong.projects.earthengine.app/view/isp-ts-evaluation#id=312 2001-&gt;2002;lat=30.61861976335484;lon=-84.93875590950739;year=2001;bf=7;level=18;"), "landsat_time_series")</f>
        <v>landsat_time_series</v>
      </c>
      <c r="H313" s="4" t="str">
        <f>HYPERLINK(CONCATENATE("https://jstnbraaten.users.earthengine.app/view/landsat-timeseries-explorer#run=true;lon=-84.93875590950739;lat=30.61861976335484;from=01-01;to=12-31;index=NDVI;rgb=NIR%2FRED%2FGREEN;chipwidth=1;"), "landsat_chips")</f>
        <v>landsat_chips</v>
      </c>
      <c r="I313" s="4" t="str">
        <f>HYPERLINK(CONCATENATE("https://livingatlas.arcgis.com/wayback/#ext=-84.9397559095074,30.61961976335484,-84.93775590950739,30.61761976335484"), "wayback")</f>
        <v>wayback</v>
      </c>
      <c r="J313" s="9" t="s">
        <v>19</v>
      </c>
      <c r="L313" s="9" t="s">
        <v>15</v>
      </c>
      <c r="M313" s="9" t="s">
        <v>20</v>
      </c>
    </row>
    <row r="314" spans="1:13">
      <c r="A314" s="1" t="s">
        <v>13</v>
      </c>
      <c r="B314" s="1">
        <v>313</v>
      </c>
      <c r="C314" s="1">
        <v>2014</v>
      </c>
      <c r="D314" s="1">
        <v>2015</v>
      </c>
      <c r="E314" s="1">
        <v>30.819628535527041</v>
      </c>
      <c r="F314" s="1">
        <v>-90.579287916356236</v>
      </c>
      <c r="G314" s="4" t="str">
        <f>HYPERLINK(CONCATENATE("https://ee-faluhong.projects.earthengine.app/view/isp-ts-evaluation#id=313 2014-&gt;2015;lat=30.81962853552704;lon=-90.57928791635624;year=2014;bf=7;level=18;"), "landsat_time_series")</f>
        <v>landsat_time_series</v>
      </c>
      <c r="H314" s="4" t="str">
        <f>HYPERLINK(CONCATENATE("https://jstnbraaten.users.earthengine.app/view/landsat-timeseries-explorer#run=true;lon=-90.57928791635624;lat=30.81962853552704;from=01-01;to=12-31;index=NDVI;rgb=NIR%2FRED%2FGREEN;chipwidth=1;"), "landsat_chips")</f>
        <v>landsat_chips</v>
      </c>
      <c r="I314" s="4" t="str">
        <f>HYPERLINK(CONCATENATE("https://livingatlas.arcgis.com/wayback/#ext=-90.58028791635624,30.820628535527042,-90.57828791635623,30.81862853552704"), "wayback")</f>
        <v>wayback</v>
      </c>
      <c r="J314" s="9" t="s">
        <v>19</v>
      </c>
      <c r="L314" s="9" t="s">
        <v>15</v>
      </c>
      <c r="M314" s="9" t="s">
        <v>20</v>
      </c>
    </row>
    <row r="315" spans="1:13">
      <c r="A315" s="1" t="s">
        <v>13</v>
      </c>
      <c r="B315" s="1">
        <v>314</v>
      </c>
      <c r="C315" s="1">
        <v>2017</v>
      </c>
      <c r="D315" s="1">
        <v>2018</v>
      </c>
      <c r="E315" s="1">
        <v>41.744806640158878</v>
      </c>
      <c r="F315" s="1">
        <v>-87.555343257843262</v>
      </c>
      <c r="G315" s="4" t="str">
        <f>HYPERLINK(CONCATENATE("https://ee-faluhong.projects.earthengine.app/view/isp-ts-evaluation#id=314 2017-&gt;2018;lat=41.74480664015888;lon=-87.55534325784326;year=2017;bf=7;level=18;"), "landsat_time_series")</f>
        <v>landsat_time_series</v>
      </c>
      <c r="H315" s="4" t="str">
        <f>HYPERLINK(CONCATENATE("https://jstnbraaten.users.earthengine.app/view/landsat-timeseries-explorer#run=true;lon=-87.55534325784326;lat=41.74480664015888;from=01-01;to=12-31;index=NDVI;rgb=NIR%2FRED%2FGREEN;chipwidth=1;"), "landsat_chips")</f>
        <v>landsat_chips</v>
      </c>
      <c r="I315" s="4" t="str">
        <f>HYPERLINK(CONCATENATE("https://livingatlas.arcgis.com/wayback/#ext=-87.55634325784327,41.745806640158875,-87.55434325784326,41.74380664015888"), "wayback")</f>
        <v>wayback</v>
      </c>
      <c r="J315" s="9" t="s">
        <v>25</v>
      </c>
      <c r="K315" s="9" t="s">
        <v>40</v>
      </c>
      <c r="L315" s="9" t="s">
        <v>15</v>
      </c>
      <c r="M315" s="9" t="s">
        <v>81</v>
      </c>
    </row>
    <row r="316" spans="1:13">
      <c r="A316" s="1" t="s">
        <v>13</v>
      </c>
      <c r="B316" s="1">
        <v>315</v>
      </c>
      <c r="C316" s="1">
        <v>2016</v>
      </c>
      <c r="D316" s="1">
        <v>2017</v>
      </c>
      <c r="E316" s="1">
        <v>34.180739190073893</v>
      </c>
      <c r="F316" s="1">
        <v>-78.038787704996153</v>
      </c>
      <c r="G316" s="4" t="str">
        <f>HYPERLINK(CONCATENATE("https://ee-faluhong.projects.earthengine.app/view/isp-ts-evaluation#id=315 2016-&gt;2017;lat=34.18073919007389;lon=-78.03878770499615;year=2016;bf=7;level=18;"), "landsat_time_series")</f>
        <v>landsat_time_series</v>
      </c>
      <c r="H316" s="4" t="str">
        <f>HYPERLINK(CONCATENATE("https://jstnbraaten.users.earthengine.app/view/landsat-timeseries-explorer#run=true;lon=-78.03878770499615;lat=34.18073919007389;from=01-01;to=12-31;index=NDVI;rgb=NIR%2FRED%2FGREEN;chipwidth=1;"), "landsat_chips")</f>
        <v>landsat_chips</v>
      </c>
      <c r="I316" s="4" t="str">
        <f>HYPERLINK(CONCATENATE("https://livingatlas.arcgis.com/wayback/#ext=-78.03978770499616,34.18173919007389,-78.03778770499615,34.179739190073896"), "wayback")</f>
        <v>wayback</v>
      </c>
      <c r="J316" s="9" t="s">
        <v>14</v>
      </c>
      <c r="L316" s="9" t="s">
        <v>15</v>
      </c>
      <c r="M316" s="9" t="s">
        <v>82</v>
      </c>
    </row>
    <row r="317" spans="1:13">
      <c r="A317" s="1" t="s">
        <v>13</v>
      </c>
      <c r="B317" s="1">
        <v>316</v>
      </c>
      <c r="C317" s="1">
        <v>2001</v>
      </c>
      <c r="D317" s="1">
        <v>2002</v>
      </c>
      <c r="E317" s="1">
        <v>35.06770432801531</v>
      </c>
      <c r="F317" s="1">
        <v>-81.094111902256017</v>
      </c>
      <c r="G317" s="4" t="str">
        <f>HYPERLINK(CONCATENATE("https://ee-faluhong.projects.earthengine.app/view/isp-ts-evaluation#id=316 2001-&gt;2002;lat=35.06770432801531;lon=-81.09411190225602;year=2001;bf=7;level=18;"), "landsat_time_series")</f>
        <v>landsat_time_series</v>
      </c>
      <c r="H317" s="4" t="str">
        <f>HYPERLINK(CONCATENATE("https://jstnbraaten.users.earthengine.app/view/landsat-timeseries-explorer#run=true;lon=-81.09411190225602;lat=35.06770432801531;from=01-01;to=12-31;index=NDVI;rgb=NIR%2FRED%2FGREEN;chipwidth=1;"), "landsat_chips")</f>
        <v>landsat_chips</v>
      </c>
      <c r="I317" s="4" t="str">
        <f>HYPERLINK(CONCATENATE("https://livingatlas.arcgis.com/wayback/#ext=-81.09511190225602,35.06870432801531,-81.09311190225601,35.06670432801531"), "wayback")</f>
        <v>wayback</v>
      </c>
      <c r="J317" s="9" t="s">
        <v>17</v>
      </c>
      <c r="L317" s="9" t="s">
        <v>15</v>
      </c>
      <c r="M317" s="9" t="s">
        <v>83</v>
      </c>
    </row>
    <row r="318" spans="1:13">
      <c r="A318" s="1" t="s">
        <v>13</v>
      </c>
      <c r="B318" s="1">
        <v>317</v>
      </c>
      <c r="C318" s="1">
        <v>2015</v>
      </c>
      <c r="D318" s="1">
        <v>2016</v>
      </c>
      <c r="E318" s="1">
        <v>40.144644343125691</v>
      </c>
      <c r="F318" s="1">
        <v>-79.73532537246507</v>
      </c>
      <c r="G318" s="4" t="str">
        <f>HYPERLINK(CONCATENATE("https://ee-faluhong.projects.earthengine.app/view/isp-ts-evaluation#id=317 2015-&gt;2016;lat=40.14464434312569;lon=-79.73532537246507;year=2015;bf=7;level=18;"), "landsat_time_series")</f>
        <v>landsat_time_series</v>
      </c>
      <c r="H318" s="4" t="str">
        <f>HYPERLINK(CONCATENATE("https://jstnbraaten.users.earthengine.app/view/landsat-timeseries-explorer#run=true;lon=-79.73532537246507;lat=40.14464434312569;from=01-01;to=12-31;index=NDVI;rgb=NIR%2FRED%2FGREEN;chipwidth=1;"), "landsat_chips")</f>
        <v>landsat_chips</v>
      </c>
      <c r="I318" s="4" t="str">
        <f>HYPERLINK(CONCATENATE("https://livingatlas.arcgis.com/wayback/#ext=-79.73632537246507,40.14564434312569,-79.73432537246507,40.14364434312569"), "wayback")</f>
        <v>wayback</v>
      </c>
      <c r="J318" s="9" t="s">
        <v>19</v>
      </c>
      <c r="L318" s="9" t="s">
        <v>15</v>
      </c>
      <c r="M318" s="9" t="s">
        <v>33</v>
      </c>
    </row>
    <row r="319" spans="1:13">
      <c r="A319" s="1" t="s">
        <v>13</v>
      </c>
      <c r="B319" s="1">
        <v>318</v>
      </c>
      <c r="C319" s="1">
        <v>2012</v>
      </c>
      <c r="D319" s="1">
        <v>2013</v>
      </c>
      <c r="E319" s="1">
        <v>43.979818322338538</v>
      </c>
      <c r="F319" s="1">
        <v>-119.6383096744506</v>
      </c>
      <c r="G319" s="4" t="str">
        <f>HYPERLINK(CONCATENATE("https://ee-faluhong.projects.earthengine.app/view/isp-ts-evaluation#id=318 2012-&gt;2013;lat=43.97981832233854;lon=-119.6383096744506;year=2012;bf=7;level=18;"), "landsat_time_series")</f>
        <v>landsat_time_series</v>
      </c>
      <c r="H319" s="4" t="str">
        <f>HYPERLINK(CONCATENATE("https://jstnbraaten.users.earthengine.app/view/landsat-timeseries-explorer#run=true;lon=-119.6383096744506;lat=43.97981832233854;from=01-01;to=12-31;index=NDVI;rgb=NIR%2FRED%2FGREEN;chipwidth=1;"), "landsat_chips")</f>
        <v>landsat_chips</v>
      </c>
      <c r="I319" s="4" t="str">
        <f>HYPERLINK(CONCATENATE("https://livingatlas.arcgis.com/wayback/#ext=-119.6393096744506,43.980818322338536,-119.63730967445059,43.97881832233854"), "wayback")</f>
        <v>wayback</v>
      </c>
      <c r="J319" s="9" t="s">
        <v>17</v>
      </c>
      <c r="L319" s="9" t="s">
        <v>15</v>
      </c>
      <c r="M319" s="9" t="s">
        <v>84</v>
      </c>
    </row>
    <row r="320" spans="1:13">
      <c r="A320" s="1" t="s">
        <v>13</v>
      </c>
      <c r="B320" s="1">
        <v>319</v>
      </c>
      <c r="C320" s="1">
        <v>2001</v>
      </c>
      <c r="D320" s="1">
        <v>2002</v>
      </c>
      <c r="E320" s="1">
        <v>39.901752993391142</v>
      </c>
      <c r="F320" s="1">
        <v>-81.199832863445707</v>
      </c>
      <c r="G320" s="4" t="str">
        <f>HYPERLINK(CONCATENATE("https://ee-faluhong.projects.earthengine.app/view/isp-ts-evaluation#id=319 2001-&gt;2002;lat=39.90175299339114;lon=-81.1998328634457;year=2001;bf=7;level=18;"), "landsat_time_series")</f>
        <v>landsat_time_series</v>
      </c>
      <c r="H320" s="4" t="str">
        <f>HYPERLINK(CONCATENATE("https://jstnbraaten.users.earthengine.app/view/landsat-timeseries-explorer#run=true;lon=-81.1998328634457;lat=39.90175299339114;from=01-01;to=12-31;index=NDVI;rgb=NIR%2FRED%2FGREEN;chipwidth=1;"), "landsat_chips")</f>
        <v>landsat_chips</v>
      </c>
      <c r="I320" s="4" t="str">
        <f>HYPERLINK(CONCATENATE("https://livingatlas.arcgis.com/wayback/#ext=-81.20083286344571,39.90275299339114,-81.1988328634457,39.900752993391144"), "wayback")</f>
        <v>wayback</v>
      </c>
      <c r="J320" s="9" t="s">
        <v>19</v>
      </c>
      <c r="L320" s="9" t="s">
        <v>15</v>
      </c>
      <c r="M320" s="9" t="s">
        <v>20</v>
      </c>
    </row>
    <row r="321" spans="1:13">
      <c r="A321" s="1" t="s">
        <v>13</v>
      </c>
      <c r="B321" s="1">
        <v>320</v>
      </c>
      <c r="C321" s="1">
        <v>2008</v>
      </c>
      <c r="D321" s="1">
        <v>2009</v>
      </c>
      <c r="E321" s="1">
        <v>41.404808200494926</v>
      </c>
      <c r="F321" s="1">
        <v>-107.9793312434674</v>
      </c>
      <c r="G321" s="4" t="str">
        <f>HYPERLINK(CONCATENATE("https://ee-faluhong.projects.earthengine.app/view/isp-ts-evaluation#id=320 2008-&gt;2009;lat=41.40480820049493;lon=-107.9793312434674;year=2008;bf=7;level=18;"), "landsat_time_series")</f>
        <v>landsat_time_series</v>
      </c>
      <c r="H321" s="4" t="str">
        <f>HYPERLINK(CONCATENATE("https://jstnbraaten.users.earthengine.app/view/landsat-timeseries-explorer#run=true;lon=-107.9793312434674;lat=41.40480820049493;from=01-01;to=12-31;index=NDVI;rgb=NIR%2FRED%2FGREEN;chipwidth=1;"), "landsat_chips")</f>
        <v>landsat_chips</v>
      </c>
      <c r="I321" s="4" t="str">
        <f>HYPERLINK(CONCATENATE("https://livingatlas.arcgis.com/wayback/#ext=-107.9803312434674,41.405808200494924,-107.9783312434674,41.40380820049493"), "wayback")</f>
        <v>wayback</v>
      </c>
      <c r="J321" s="9" t="s">
        <v>19</v>
      </c>
      <c r="L321" s="9" t="s">
        <v>15</v>
      </c>
      <c r="M321" s="9" t="s">
        <v>28</v>
      </c>
    </row>
    <row r="322" spans="1:13">
      <c r="A322" s="1" t="s">
        <v>13</v>
      </c>
      <c r="B322" s="1">
        <v>321</v>
      </c>
      <c r="C322" s="1">
        <v>2017</v>
      </c>
      <c r="D322" s="1">
        <v>2018</v>
      </c>
      <c r="E322" s="1">
        <v>32.919987552993092</v>
      </c>
      <c r="F322" s="1">
        <v>-89.103141943117663</v>
      </c>
      <c r="G322" s="4" t="str">
        <f>HYPERLINK(CONCATENATE("https://ee-faluhong.projects.earthengine.app/view/isp-ts-evaluation#id=321 2017-&gt;2018;lat=32.91998755299309;lon=-89.10314194311766;year=2017;bf=7;level=18;"), "landsat_time_series")</f>
        <v>landsat_time_series</v>
      </c>
      <c r="H322" s="4" t="str">
        <f>HYPERLINK(CONCATENATE("https://jstnbraaten.users.earthengine.app/view/landsat-timeseries-explorer#run=true;lon=-89.10314194311766;lat=32.91998755299309;from=01-01;to=12-31;index=NDVI;rgb=NIR%2FRED%2FGREEN;chipwidth=1;"), "landsat_chips")</f>
        <v>landsat_chips</v>
      </c>
      <c r="I322" s="4" t="str">
        <f>HYPERLINK(CONCATENATE("https://livingatlas.arcgis.com/wayback/#ext=-89.10414194311767,32.92098755299309,-89.10214194311766,32.918987552993094"), "wayback")</f>
        <v>wayback</v>
      </c>
      <c r="J322" s="9" t="s">
        <v>17</v>
      </c>
      <c r="L322" s="9" t="s">
        <v>15</v>
      </c>
      <c r="M322" s="9" t="s">
        <v>84</v>
      </c>
    </row>
    <row r="323" spans="1:13">
      <c r="A323" s="1" t="s">
        <v>13</v>
      </c>
      <c r="B323" s="1">
        <v>322</v>
      </c>
      <c r="C323" s="1">
        <v>2000</v>
      </c>
      <c r="D323" s="1">
        <v>2001</v>
      </c>
      <c r="E323" s="1">
        <v>45.301968624655643</v>
      </c>
      <c r="F323" s="1">
        <v>-94.225301915854942</v>
      </c>
      <c r="G323" s="4" t="str">
        <f>HYPERLINK(CONCATENATE("https://ee-faluhong.projects.earthengine.app/view/isp-ts-evaluation#id=322 2000-&gt;2001;lat=45.30196862465564;lon=-94.22530191585494;year=2000;bf=7;level=18;"), "landsat_time_series")</f>
        <v>landsat_time_series</v>
      </c>
      <c r="H323" s="4" t="str">
        <f>HYPERLINK(CONCATENATE("https://jstnbraaten.users.earthengine.app/view/landsat-timeseries-explorer#run=true;lon=-94.22530191585494;lat=45.30196862465564;from=01-01;to=12-31;index=NDVI;rgb=NIR%2FRED%2FGREEN;chipwidth=1;"), "landsat_chips")</f>
        <v>landsat_chips</v>
      </c>
      <c r="I323" s="4" t="str">
        <f>HYPERLINK(CONCATENATE("https://livingatlas.arcgis.com/wayback/#ext=-94.22630191585495,45.30296862465564,-94.22430191585494,45.300968624655646"), "wayback")</f>
        <v>wayback</v>
      </c>
      <c r="J323" s="9" t="s">
        <v>19</v>
      </c>
      <c r="L323" s="9" t="s">
        <v>15</v>
      </c>
      <c r="M323" s="9" t="s">
        <v>20</v>
      </c>
    </row>
    <row r="324" spans="1:13">
      <c r="A324" s="1" t="s">
        <v>13</v>
      </c>
      <c r="B324" s="1">
        <v>323</v>
      </c>
      <c r="C324" s="1">
        <v>2015</v>
      </c>
      <c r="D324" s="1">
        <v>2016</v>
      </c>
      <c r="E324" s="1">
        <v>33.183193026673599</v>
      </c>
      <c r="F324" s="1">
        <v>-87.250937865846737</v>
      </c>
      <c r="G324" s="4" t="str">
        <f>HYPERLINK(CONCATENATE("https://ee-faluhong.projects.earthengine.app/view/isp-ts-evaluation#id=323 2015-&gt;2016;lat=33.1831930266736;lon=-87.25093786584674;year=2015;bf=7;level=18;"), "landsat_time_series")</f>
        <v>landsat_time_series</v>
      </c>
      <c r="H324" s="4" t="str">
        <f>HYPERLINK(CONCATENATE("https://jstnbraaten.users.earthengine.app/view/landsat-timeseries-explorer#run=true;lon=-87.25093786584674;lat=33.1831930266736;from=01-01;to=12-31;index=NDVI;rgb=NIR%2FRED%2FGREEN;chipwidth=1;"), "landsat_chips")</f>
        <v>landsat_chips</v>
      </c>
      <c r="I324" s="4" t="str">
        <f>HYPERLINK(CONCATENATE("https://livingatlas.arcgis.com/wayback/#ext=-87.25193786584674,33.1841930266736,-87.24993786584673,33.1821930266736"), "wayback")</f>
        <v>wayback</v>
      </c>
      <c r="J324" s="9" t="s">
        <v>21</v>
      </c>
      <c r="L324" s="9" t="s">
        <v>15</v>
      </c>
      <c r="M324" s="9" t="s">
        <v>85</v>
      </c>
    </row>
    <row r="325" spans="1:13">
      <c r="A325" s="1" t="s">
        <v>13</v>
      </c>
      <c r="B325" s="1">
        <v>324</v>
      </c>
      <c r="C325" s="1">
        <v>2005</v>
      </c>
      <c r="D325" s="1">
        <v>2006</v>
      </c>
      <c r="E325" s="1">
        <v>43.378660972524912</v>
      </c>
      <c r="F325" s="1">
        <v>-93.336496058492628</v>
      </c>
      <c r="G325" s="4" t="str">
        <f>HYPERLINK(CONCATENATE("https://ee-faluhong.projects.earthengine.app/view/isp-ts-evaluation#id=324 2005-&gt;2006;lat=43.37866097252491;lon=-93.33649605849263;year=2005;bf=7;level=18;"), "landsat_time_series")</f>
        <v>landsat_time_series</v>
      </c>
      <c r="H325" s="4" t="str">
        <f>HYPERLINK(CONCATENATE("https://jstnbraaten.users.earthengine.app/view/landsat-timeseries-explorer#run=true;lon=-93.33649605849263;lat=43.37866097252491;from=01-01;to=12-31;index=NDVI;rgb=NIR%2FRED%2FGREEN;chipwidth=1;"), "landsat_chips")</f>
        <v>landsat_chips</v>
      </c>
      <c r="I325" s="4" t="str">
        <f>HYPERLINK(CONCATENATE("https://livingatlas.arcgis.com/wayback/#ext=-93.33749605849263,43.37966097252491,-93.33549605849262,43.377660972524914"), "wayback")</f>
        <v>wayback</v>
      </c>
      <c r="J325" s="9" t="s">
        <v>17</v>
      </c>
      <c r="L325" s="9" t="s">
        <v>24</v>
      </c>
      <c r="M325" s="9" t="s">
        <v>86</v>
      </c>
    </row>
    <row r="326" spans="1:13">
      <c r="A326" s="1" t="s">
        <v>13</v>
      </c>
      <c r="B326" s="1">
        <v>325</v>
      </c>
      <c r="C326" s="1">
        <v>2004</v>
      </c>
      <c r="D326" s="1">
        <v>2005</v>
      </c>
      <c r="E326" s="1">
        <v>33.087868846359612</v>
      </c>
      <c r="F326" s="1">
        <v>-111.9508897438825</v>
      </c>
      <c r="G326" s="4" t="str">
        <f>HYPERLINK(CONCATENATE("https://ee-faluhong.projects.earthengine.app/view/isp-ts-evaluation#id=325 2004-&gt;2005;lat=33.08786884635961;lon=-111.9508897438825;year=2004;bf=7;level=18;"), "landsat_time_series")</f>
        <v>landsat_time_series</v>
      </c>
      <c r="H326" s="4" t="str">
        <f>HYPERLINK(CONCATENATE("https://jstnbraaten.users.earthengine.app/view/landsat-timeseries-explorer#run=true;lon=-111.9508897438825;lat=33.08786884635961;from=01-01;to=12-31;index=NDVI;rgb=NIR%2FRED%2FGREEN;chipwidth=1;"), "landsat_chips")</f>
        <v>landsat_chips</v>
      </c>
      <c r="I326" s="4" t="str">
        <f>HYPERLINK(CONCATENATE("https://livingatlas.arcgis.com/wayback/#ext=-111.9518897438825,33.08886884635961,-111.9498897438825,33.086868846359614"), "wayback")</f>
        <v>wayback</v>
      </c>
      <c r="J326" s="9" t="s">
        <v>17</v>
      </c>
      <c r="L326" s="9" t="s">
        <v>24</v>
      </c>
      <c r="M326" s="9" t="s">
        <v>86</v>
      </c>
    </row>
    <row r="327" spans="1:13">
      <c r="A327" s="1" t="s">
        <v>13</v>
      </c>
      <c r="B327" s="1">
        <v>326</v>
      </c>
      <c r="C327" s="1">
        <v>2018</v>
      </c>
      <c r="D327" s="1">
        <v>2019</v>
      </c>
      <c r="E327" s="1">
        <v>40.189403887025762</v>
      </c>
      <c r="F327" s="1">
        <v>-111.6202434329209</v>
      </c>
      <c r="G327" s="4" t="str">
        <f>HYPERLINK(CONCATENATE("https://ee-faluhong.projects.earthengine.app/view/isp-ts-evaluation#id=326 2018-&gt;2019;lat=40.18940388702576;lon=-111.6202434329209;year=2018;bf=7;level=18;"), "landsat_time_series")</f>
        <v>landsat_time_series</v>
      </c>
      <c r="H327" s="4" t="str">
        <f>HYPERLINK(CONCATENATE("https://jstnbraaten.users.earthengine.app/view/landsat-timeseries-explorer#run=true;lon=-111.6202434329209;lat=40.18940388702576;from=01-01;to=12-31;index=NDVI;rgb=NIR%2FRED%2FGREEN;chipwidth=1;"), "landsat_chips")</f>
        <v>landsat_chips</v>
      </c>
      <c r="I327" s="4" t="str">
        <f>HYPERLINK(CONCATENATE("https://livingatlas.arcgis.com/wayback/#ext=-111.6212434329209,40.19040388702576,-111.6192434329209,40.188403887025764"), "wayback")</f>
        <v>wayback</v>
      </c>
      <c r="J327" s="9" t="s">
        <v>34</v>
      </c>
      <c r="L327" s="9" t="s">
        <v>15</v>
      </c>
      <c r="M327" s="9" t="s">
        <v>87</v>
      </c>
    </row>
    <row r="328" spans="1:13">
      <c r="A328" s="1" t="s">
        <v>13</v>
      </c>
      <c r="B328" s="1">
        <v>327</v>
      </c>
      <c r="C328" s="1">
        <v>2005</v>
      </c>
      <c r="D328" s="1">
        <v>2006</v>
      </c>
      <c r="E328" s="1">
        <v>35.757382995890289</v>
      </c>
      <c r="F328" s="1">
        <v>-81.91944263221572</v>
      </c>
      <c r="G328" s="4" t="str">
        <f>HYPERLINK(CONCATENATE("https://ee-faluhong.projects.earthengine.app/view/isp-ts-evaluation#id=327 2005-&gt;2006;lat=35.75738299589029;lon=-81.91944263221572;year=2005;bf=7;level=18;"), "landsat_time_series")</f>
        <v>landsat_time_series</v>
      </c>
      <c r="H328" s="4" t="str">
        <f>HYPERLINK(CONCATENATE("https://jstnbraaten.users.earthengine.app/view/landsat-timeseries-explorer#run=true;lon=-81.91944263221572;lat=35.75738299589029;from=01-01;to=12-31;index=NDVI;rgb=NIR%2FRED%2FGREEN;chipwidth=1;"), "landsat_chips")</f>
        <v>landsat_chips</v>
      </c>
      <c r="I328" s="4" t="str">
        <f>HYPERLINK(CONCATENATE("https://livingatlas.arcgis.com/wayback/#ext=-81.92044263221572,35.75838299589029,-81.91844263221572,35.75638299589029"), "wayback")</f>
        <v>wayback</v>
      </c>
      <c r="J328" s="9" t="s">
        <v>19</v>
      </c>
      <c r="L328" s="9" t="s">
        <v>15</v>
      </c>
      <c r="M328" s="9" t="s">
        <v>88</v>
      </c>
    </row>
    <row r="329" spans="1:13">
      <c r="A329" s="1" t="s">
        <v>13</v>
      </c>
      <c r="B329" s="1">
        <v>328</v>
      </c>
      <c r="C329" s="1">
        <v>2013</v>
      </c>
      <c r="D329" s="1">
        <v>2014</v>
      </c>
      <c r="E329" s="1">
        <v>32.746382006713631</v>
      </c>
      <c r="F329" s="1">
        <v>-93.442987486908905</v>
      </c>
      <c r="G329" s="4" t="str">
        <f>HYPERLINK(CONCATENATE("https://ee-faluhong.projects.earthengine.app/view/isp-ts-evaluation#id=328 2013-&gt;2014;lat=32.74638200671363;lon=-93.4429874869089;year=2013;bf=7;level=18;"), "landsat_time_series")</f>
        <v>landsat_time_series</v>
      </c>
      <c r="H329" s="4" t="str">
        <f>HYPERLINK(CONCATENATE("https://jstnbraaten.users.earthengine.app/view/landsat-timeseries-explorer#run=true;lon=-93.4429874869089;lat=32.74638200671363;from=01-01;to=12-31;index=NDVI;rgb=NIR%2FRED%2FGREEN;chipwidth=1;"), "landsat_chips")</f>
        <v>landsat_chips</v>
      </c>
      <c r="I329" s="4" t="str">
        <f>HYPERLINK(CONCATENATE("https://livingatlas.arcgis.com/wayback/#ext=-93.44398748690891,32.74738200671363,-93.4419874869089,32.74538200671363"), "wayback")</f>
        <v>wayback</v>
      </c>
      <c r="J329" s="9" t="s">
        <v>19</v>
      </c>
      <c r="L329" s="9" t="s">
        <v>15</v>
      </c>
      <c r="M329" s="9" t="s">
        <v>20</v>
      </c>
    </row>
    <row r="330" spans="1:13">
      <c r="A330" s="1" t="s">
        <v>13</v>
      </c>
      <c r="B330" s="1">
        <v>329</v>
      </c>
      <c r="C330" s="1">
        <v>2017</v>
      </c>
      <c r="D330" s="1">
        <v>2018</v>
      </c>
      <c r="E330" s="1">
        <v>47.05000500053022</v>
      </c>
      <c r="F330" s="1">
        <v>-90.584835860028448</v>
      </c>
      <c r="G330" s="4" t="str">
        <f>HYPERLINK(CONCATENATE("https://ee-faluhong.projects.earthengine.app/view/isp-ts-evaluation#id=329 2017-&gt;2018;lat=47.05000500053022;lon=-90.58483586002845;year=2017;bf=7;level=18;"), "landsat_time_series")</f>
        <v>landsat_time_series</v>
      </c>
      <c r="H330" s="4" t="str">
        <f>HYPERLINK(CONCATENATE("https://jstnbraaten.users.earthengine.app/view/landsat-timeseries-explorer#run=true;lon=-90.58483586002845;lat=47.05000500053022;from=01-01;to=12-31;index=NDVI;rgb=NIR%2FRED%2FGREEN;chipwidth=1;"), "landsat_chips")</f>
        <v>landsat_chips</v>
      </c>
      <c r="I330" s="4" t="str">
        <f>HYPERLINK(CONCATENATE("https://livingatlas.arcgis.com/wayback/#ext=-90.58583586002845,47.05100500053022,-90.58383586002844,47.04900500053022"), "wayback")</f>
        <v>wayback</v>
      </c>
      <c r="J330" s="9" t="s">
        <v>19</v>
      </c>
      <c r="L330" s="9" t="s">
        <v>15</v>
      </c>
      <c r="M330" s="9" t="s">
        <v>78</v>
      </c>
    </row>
    <row r="331" spans="1:13">
      <c r="A331" s="1" t="s">
        <v>13</v>
      </c>
      <c r="B331" s="1">
        <v>330</v>
      </c>
      <c r="C331" s="1">
        <v>2010</v>
      </c>
      <c r="D331" s="1">
        <v>2011</v>
      </c>
      <c r="E331" s="1">
        <v>43.700534936402832</v>
      </c>
      <c r="F331" s="1">
        <v>-106.4777015253274</v>
      </c>
      <c r="G331" s="4" t="str">
        <f>HYPERLINK(CONCATENATE("https://ee-faluhong.projects.earthengine.app/view/isp-ts-evaluation#id=330 2010-&gt;2011;lat=43.70053493640283;lon=-106.4777015253274;year=2010;bf=7;level=18;"), "landsat_time_series")</f>
        <v>landsat_time_series</v>
      </c>
      <c r="H331" s="4" t="str">
        <f>HYPERLINK(CONCATENATE("https://jstnbraaten.users.earthengine.app/view/landsat-timeseries-explorer#run=true;lon=-106.4777015253274;lat=43.70053493640283;from=01-01;to=12-31;index=NDVI;rgb=NIR%2FRED%2FGREEN;chipwidth=1;"), "landsat_chips")</f>
        <v>landsat_chips</v>
      </c>
      <c r="I331" s="4" t="str">
        <f>HYPERLINK(CONCATENATE("https://livingatlas.arcgis.com/wayback/#ext=-106.47870152532741,43.70153493640283,-106.4767015253274,43.699534936402834"), "wayback")</f>
        <v>wayback</v>
      </c>
      <c r="J331" s="9" t="s">
        <v>19</v>
      </c>
      <c r="L331" s="9" t="s">
        <v>15</v>
      </c>
      <c r="M331" s="9" t="s">
        <v>28</v>
      </c>
    </row>
    <row r="332" spans="1:13">
      <c r="A332" s="1" t="s">
        <v>13</v>
      </c>
      <c r="B332" s="1">
        <v>331</v>
      </c>
      <c r="C332" s="1">
        <v>2010</v>
      </c>
      <c r="D332" s="1">
        <v>2011</v>
      </c>
      <c r="E332" s="1">
        <v>33.029554542317648</v>
      </c>
      <c r="F332" s="1">
        <v>-107.3139095221254</v>
      </c>
      <c r="G332" s="4" t="str">
        <f>HYPERLINK(CONCATENATE("https://ee-faluhong.projects.earthengine.app/view/isp-ts-evaluation#id=331 2010-&gt;2011;lat=33.02955454231765;lon=-107.3139095221254;year=2010;bf=7;level=18;"), "landsat_time_series")</f>
        <v>landsat_time_series</v>
      </c>
      <c r="H332" s="4" t="str">
        <f>HYPERLINK(CONCATENATE("https://jstnbraaten.users.earthengine.app/view/landsat-timeseries-explorer#run=true;lon=-107.3139095221254;lat=33.02955454231765;from=01-01;to=12-31;index=NDVI;rgb=NIR%2FRED%2FGREEN;chipwidth=1;"), "landsat_chips")</f>
        <v>landsat_chips</v>
      </c>
      <c r="I332" s="4" t="str">
        <f>HYPERLINK(CONCATENATE("https://livingatlas.arcgis.com/wayback/#ext=-107.3149095221254,33.030554542317645,-107.3129095221254,33.02855454231765"), "wayback")</f>
        <v>wayback</v>
      </c>
      <c r="J332" s="9" t="s">
        <v>25</v>
      </c>
      <c r="K332" s="9" t="s">
        <v>26</v>
      </c>
      <c r="L332" s="9" t="s">
        <v>15</v>
      </c>
      <c r="M332" s="9" t="s">
        <v>84</v>
      </c>
    </row>
    <row r="333" spans="1:13">
      <c r="A333" s="1" t="s">
        <v>13</v>
      </c>
      <c r="B333" s="1">
        <v>332</v>
      </c>
      <c r="C333" s="1">
        <v>2002</v>
      </c>
      <c r="D333" s="1">
        <v>2003</v>
      </c>
      <c r="E333" s="1">
        <v>30.49021282179017</v>
      </c>
      <c r="F333" s="1">
        <v>-97.773925752885418</v>
      </c>
      <c r="G333" s="4" t="str">
        <f>HYPERLINK(CONCATENATE("https://ee-faluhong.projects.earthengine.app/view/isp-ts-evaluation#id=332 2002-&gt;2003;lat=30.49021282179017;lon=-97.77392575288542;year=2002;bf=7;level=18;"), "landsat_time_series")</f>
        <v>landsat_time_series</v>
      </c>
      <c r="H333" s="4" t="str">
        <f>HYPERLINK(CONCATENATE("https://jstnbraaten.users.earthengine.app/view/landsat-timeseries-explorer#run=true;lon=-97.77392575288542;lat=30.49021282179017;from=01-01;to=12-31;index=NDVI;rgb=NIR%2FRED%2FGREEN;chipwidth=1;"), "landsat_chips")</f>
        <v>landsat_chips</v>
      </c>
      <c r="I333" s="4" t="str">
        <f>HYPERLINK(CONCATENATE("https://livingatlas.arcgis.com/wayback/#ext=-97.77492575288542,30.49121282179017,-97.77292575288541,30.48921282179017"), "wayback")</f>
        <v>wayback</v>
      </c>
      <c r="J333" s="9" t="s">
        <v>14</v>
      </c>
      <c r="L333" s="9" t="s">
        <v>15</v>
      </c>
      <c r="M333" s="9" t="s">
        <v>77</v>
      </c>
    </row>
    <row r="334" spans="1:13">
      <c r="A334" s="1" t="s">
        <v>13</v>
      </c>
      <c r="B334" s="1">
        <v>333</v>
      </c>
      <c r="C334" s="1">
        <v>2013</v>
      </c>
      <c r="D334" s="1">
        <v>2014</v>
      </c>
      <c r="E334" s="1">
        <v>42.909241453028358</v>
      </c>
      <c r="F334" s="1">
        <v>-98.101736809395476</v>
      </c>
      <c r="G334" s="4" t="str">
        <f>HYPERLINK(CONCATENATE("https://ee-faluhong.projects.earthengine.app/view/isp-ts-evaluation#id=333 2013-&gt;2014;lat=42.90924145302836;lon=-98.10173680939548;year=2013;bf=7;level=18;"), "landsat_time_series")</f>
        <v>landsat_time_series</v>
      </c>
      <c r="H334" s="4" t="str">
        <f>HYPERLINK(CONCATENATE("https://jstnbraaten.users.earthengine.app/view/landsat-timeseries-explorer#run=true;lon=-98.10173680939548;lat=42.90924145302836;from=01-01;to=12-31;index=NDVI;rgb=NIR%2FRED%2FGREEN;chipwidth=1;"), "landsat_chips")</f>
        <v>landsat_chips</v>
      </c>
      <c r="I334" s="4" t="str">
        <f>HYPERLINK(CONCATENATE("https://livingatlas.arcgis.com/wayback/#ext=-98.10273680939548,42.910241453028355,-98.10073680939547,42.90824145302836"), "wayback")</f>
        <v>wayback</v>
      </c>
      <c r="J334" s="9" t="s">
        <v>19</v>
      </c>
      <c r="L334" s="9" t="s">
        <v>15</v>
      </c>
      <c r="M334" s="9" t="s">
        <v>33</v>
      </c>
    </row>
    <row r="335" spans="1:13">
      <c r="A335" s="1" t="s">
        <v>13</v>
      </c>
      <c r="B335" s="1">
        <v>334</v>
      </c>
      <c r="C335" s="1">
        <v>2002</v>
      </c>
      <c r="D335" s="1">
        <v>2003</v>
      </c>
      <c r="E335" s="1">
        <v>42.596509731946178</v>
      </c>
      <c r="F335" s="1">
        <v>-71.628728074317436</v>
      </c>
      <c r="G335" s="4" t="str">
        <f>HYPERLINK(CONCATENATE("https://ee-faluhong.projects.earthengine.app/view/isp-ts-evaluation#id=334 2002-&gt;2003;lat=42.59650973194618;lon=-71.62872807431744;year=2002;bf=7;level=18;"), "landsat_time_series")</f>
        <v>landsat_time_series</v>
      </c>
      <c r="H335" s="4" t="str">
        <f>HYPERLINK(CONCATENATE("https://jstnbraaten.users.earthengine.app/view/landsat-timeseries-explorer#run=true;lon=-71.62872807431744;lat=42.59650973194618;from=01-01;to=12-31;index=NDVI;rgb=NIR%2FRED%2FGREEN;chipwidth=1;"), "landsat_chips")</f>
        <v>landsat_chips</v>
      </c>
      <c r="I335" s="4" t="str">
        <f>HYPERLINK(CONCATENATE("https://livingatlas.arcgis.com/wayback/#ext=-71.62972807431744,42.597509731946175,-71.62772807431743,42.59550973194618"), "wayback")</f>
        <v>wayback</v>
      </c>
      <c r="J335" s="9" t="s">
        <v>21</v>
      </c>
      <c r="L335" s="9" t="s">
        <v>15</v>
      </c>
      <c r="M335" s="9" t="s">
        <v>84</v>
      </c>
    </row>
    <row r="336" spans="1:13">
      <c r="A336" s="1" t="s">
        <v>13</v>
      </c>
      <c r="B336" s="1">
        <v>335</v>
      </c>
      <c r="C336" s="1">
        <v>2013</v>
      </c>
      <c r="D336" s="1">
        <v>2014</v>
      </c>
      <c r="E336" s="1">
        <v>34.549831874644177</v>
      </c>
      <c r="F336" s="1">
        <v>-90.751032576009194</v>
      </c>
      <c r="G336" s="4" t="str">
        <f>HYPERLINK(CONCATENATE("https://ee-faluhong.projects.earthengine.app/view/isp-ts-evaluation#id=335 2013-&gt;2014;lat=34.54983187464418;lon=-90.7510325760092;year=2013;bf=7;level=18;"), "landsat_time_series")</f>
        <v>landsat_time_series</v>
      </c>
      <c r="H336" s="4" t="str">
        <f>HYPERLINK(CONCATENATE("https://jstnbraaten.users.earthengine.app/view/landsat-timeseries-explorer#run=true;lon=-90.7510325760092;lat=34.54983187464418;from=01-01;to=12-31;index=NDVI;rgb=NIR%2FRED%2FGREEN;chipwidth=1;"), "landsat_chips")</f>
        <v>landsat_chips</v>
      </c>
      <c r="I336" s="4" t="str">
        <f>HYPERLINK(CONCATENATE("https://livingatlas.arcgis.com/wayback/#ext=-90.7520325760092,34.550831874644174,-90.75003257600919,34.54883187464418"), "wayback")</f>
        <v>wayback</v>
      </c>
      <c r="J336" s="9" t="s">
        <v>25</v>
      </c>
      <c r="K336" s="9" t="s">
        <v>26</v>
      </c>
      <c r="L336" s="9" t="s">
        <v>15</v>
      </c>
      <c r="M336" s="9" t="s">
        <v>20</v>
      </c>
    </row>
    <row r="337" spans="1:13">
      <c r="A337" s="1" t="s">
        <v>13</v>
      </c>
      <c r="B337" s="1">
        <v>336</v>
      </c>
      <c r="C337" s="1">
        <v>2003</v>
      </c>
      <c r="D337" s="1">
        <v>2004</v>
      </c>
      <c r="E337" s="1">
        <v>33.438653580050243</v>
      </c>
      <c r="F337" s="1">
        <v>-81.812359269526993</v>
      </c>
      <c r="G337" s="4" t="str">
        <f>HYPERLINK(CONCATENATE("https://ee-faluhong.projects.earthengine.app/view/isp-ts-evaluation#id=336 2003-&gt;2004;lat=33.43865358005024;lon=-81.812359269527;year=2003;bf=7;level=18;"), "landsat_time_series")</f>
        <v>landsat_time_series</v>
      </c>
      <c r="H337" s="4" t="str">
        <f>HYPERLINK(CONCATENATE("https://jstnbraaten.users.earthengine.app/view/landsat-timeseries-explorer#run=true;lon=-81.812359269527;lat=33.43865358005024;from=01-01;to=12-31;index=NDVI;rgb=NIR%2FRED%2FGREEN;chipwidth=1;"), "landsat_chips")</f>
        <v>landsat_chips</v>
      </c>
      <c r="I337" s="4" t="str">
        <f>HYPERLINK(CONCATENATE("https://livingatlas.arcgis.com/wayback/#ext=-81.813359269527,33.43965358005024,-81.81135926952699,33.437653580050245"), "wayback")</f>
        <v>wayback</v>
      </c>
      <c r="J337" s="9" t="s">
        <v>19</v>
      </c>
      <c r="L337" s="9" t="s">
        <v>15</v>
      </c>
      <c r="M337" s="9" t="s">
        <v>20</v>
      </c>
    </row>
    <row r="338" spans="1:13">
      <c r="A338" s="1" t="s">
        <v>13</v>
      </c>
      <c r="B338" s="1">
        <v>337</v>
      </c>
      <c r="C338" s="1">
        <v>2005</v>
      </c>
      <c r="D338" s="1">
        <v>2006</v>
      </c>
      <c r="E338" s="1">
        <v>36.064965359270793</v>
      </c>
      <c r="F338" s="1">
        <v>-83.703942200680686</v>
      </c>
      <c r="G338" s="4" t="str">
        <f>HYPERLINK(CONCATENATE("https://ee-faluhong.projects.earthengine.app/view/isp-ts-evaluation#id=337 2005-&gt;2006;lat=36.06496535927079;lon=-83.70394220068069;year=2005;bf=7;level=18;"), "landsat_time_series")</f>
        <v>landsat_time_series</v>
      </c>
      <c r="H338" s="4" t="str">
        <f>HYPERLINK(CONCATENATE("https://jstnbraaten.users.earthengine.app/view/landsat-timeseries-explorer#run=true;lon=-83.70394220068069;lat=36.06496535927079;from=01-01;to=12-31;index=NDVI;rgb=NIR%2FRED%2FGREEN;chipwidth=1;"), "landsat_chips")</f>
        <v>landsat_chips</v>
      </c>
      <c r="I338" s="4" t="str">
        <f>HYPERLINK(CONCATENATE("https://livingatlas.arcgis.com/wayback/#ext=-83.70494220068069,36.06596535927079,-83.70294220068068,36.063965359270796"), "wayback")</f>
        <v>wayback</v>
      </c>
      <c r="J338" s="9" t="s">
        <v>21</v>
      </c>
      <c r="L338" s="9" t="s">
        <v>24</v>
      </c>
      <c r="M338" s="9" t="s">
        <v>89</v>
      </c>
    </row>
    <row r="339" spans="1:13">
      <c r="A339" s="1" t="s">
        <v>13</v>
      </c>
      <c r="B339" s="1">
        <v>338</v>
      </c>
      <c r="C339" s="1">
        <v>2002</v>
      </c>
      <c r="D339" s="1">
        <v>2003</v>
      </c>
      <c r="E339" s="1">
        <v>42.574110399727623</v>
      </c>
      <c r="F339" s="1">
        <v>-119.2223768666569</v>
      </c>
      <c r="G339" s="4" t="str">
        <f>HYPERLINK(CONCATENATE("https://ee-faluhong.projects.earthengine.app/view/isp-ts-evaluation#id=338 2002-&gt;2003;lat=42.57411039972762;lon=-119.2223768666569;year=2002;bf=7;level=18;"), "landsat_time_series")</f>
        <v>landsat_time_series</v>
      </c>
      <c r="H339" s="4" t="str">
        <f>HYPERLINK(CONCATENATE("https://jstnbraaten.users.earthengine.app/view/landsat-timeseries-explorer#run=true;lon=-119.2223768666569;lat=42.57411039972762;from=01-01;to=12-31;index=NDVI;rgb=NIR%2FRED%2FGREEN;chipwidth=1;"), "landsat_chips")</f>
        <v>landsat_chips</v>
      </c>
      <c r="I339" s="4" t="str">
        <f>HYPERLINK(CONCATENATE("https://livingatlas.arcgis.com/wayback/#ext=-119.2233768666569,42.57511039972762,-119.2213768666569,42.573110399727625"), "wayback")</f>
        <v>wayback</v>
      </c>
      <c r="J339" s="9" t="s">
        <v>19</v>
      </c>
      <c r="L339" s="9" t="s">
        <v>15</v>
      </c>
      <c r="M339" s="9" t="s">
        <v>28</v>
      </c>
    </row>
    <row r="340" spans="1:13">
      <c r="A340" s="1" t="s">
        <v>13</v>
      </c>
      <c r="B340" s="1">
        <v>339</v>
      </c>
      <c r="C340" s="1">
        <v>2007</v>
      </c>
      <c r="D340" s="1">
        <v>2008</v>
      </c>
      <c r="E340" s="1">
        <v>43.463922033505767</v>
      </c>
      <c r="F340" s="1">
        <v>-99.080813441272852</v>
      </c>
      <c r="G340" s="4" t="str">
        <f>HYPERLINK(CONCATENATE("https://ee-faluhong.projects.earthengine.app/view/isp-ts-evaluation#id=339 2007-&gt;2008;lat=43.46392203350577;lon=-99.08081344127285;year=2007;bf=7;level=18;"), "landsat_time_series")</f>
        <v>landsat_time_series</v>
      </c>
      <c r="H340" s="4" t="str">
        <f>HYPERLINK(CONCATENATE("https://jstnbraaten.users.earthengine.app/view/landsat-timeseries-explorer#run=true;lon=-99.08081344127285;lat=43.46392203350577;from=01-01;to=12-31;index=NDVI;rgb=NIR%2FRED%2FGREEN;chipwidth=1;"), "landsat_chips")</f>
        <v>landsat_chips</v>
      </c>
      <c r="I340" s="4" t="str">
        <f>HYPERLINK(CONCATENATE("https://livingatlas.arcgis.com/wayback/#ext=-99.08181344127286,43.464922033505765,-99.07981344127285,43.46292203350577"), "wayback")</f>
        <v>wayback</v>
      </c>
      <c r="J340" s="9" t="s">
        <v>19</v>
      </c>
      <c r="L340" s="9" t="s">
        <v>15</v>
      </c>
      <c r="M340" s="9" t="s">
        <v>22</v>
      </c>
    </row>
    <row r="341" spans="1:13">
      <c r="A341" s="1" t="s">
        <v>13</v>
      </c>
      <c r="B341" s="1">
        <v>340</v>
      </c>
      <c r="C341" s="1">
        <v>2015</v>
      </c>
      <c r="D341" s="1">
        <v>2016</v>
      </c>
      <c r="E341" s="1">
        <v>39.928465116399821</v>
      </c>
      <c r="F341" s="1">
        <v>-122.1919583382694</v>
      </c>
      <c r="G341" s="4" t="str">
        <f>HYPERLINK(CONCATENATE("https://ee-faluhong.projects.earthengine.app/view/isp-ts-evaluation#id=340 2015-&gt;2016;lat=39.92846511639982;lon=-122.1919583382694;year=2015;bf=7;level=18;"), "landsat_time_series")</f>
        <v>landsat_time_series</v>
      </c>
      <c r="H341" s="4" t="str">
        <f>HYPERLINK(CONCATENATE("https://jstnbraaten.users.earthengine.app/view/landsat-timeseries-explorer#run=true;lon=-122.1919583382694;lat=39.92846511639982;from=01-01;to=12-31;index=NDVI;rgb=NIR%2FRED%2FGREEN;chipwidth=1;"), "landsat_chips")</f>
        <v>landsat_chips</v>
      </c>
      <c r="I341" s="4" t="str">
        <f>HYPERLINK(CONCATENATE("https://livingatlas.arcgis.com/wayback/#ext=-122.1929583382694,39.92946511639982,-122.1909583382694,39.92746511639982"), "wayback")</f>
        <v>wayback</v>
      </c>
      <c r="J341" s="9" t="s">
        <v>17</v>
      </c>
      <c r="L341" s="9" t="s">
        <v>15</v>
      </c>
      <c r="M341" s="9" t="s">
        <v>90</v>
      </c>
    </row>
    <row r="342" spans="1:13">
      <c r="A342" s="1" t="s">
        <v>13</v>
      </c>
      <c r="B342" s="1">
        <v>341</v>
      </c>
      <c r="C342" s="1">
        <v>2009</v>
      </c>
      <c r="D342" s="1">
        <v>2010</v>
      </c>
      <c r="E342" s="1">
        <v>43.122616991545478</v>
      </c>
      <c r="F342" s="1">
        <v>-76.441446042490924</v>
      </c>
      <c r="G342" s="4" t="str">
        <f>HYPERLINK(CONCATENATE("https://ee-faluhong.projects.earthengine.app/view/isp-ts-evaluation#id=341 2009-&gt;2010;lat=43.12261699154548;lon=-76.44144604249092;year=2009;bf=7;level=18;"), "landsat_time_series")</f>
        <v>landsat_time_series</v>
      </c>
      <c r="H342" s="4" t="str">
        <f>HYPERLINK(CONCATENATE("https://jstnbraaten.users.earthengine.app/view/landsat-timeseries-explorer#run=true;lon=-76.44144604249092;lat=43.12261699154548;from=01-01;to=12-31;index=NDVI;rgb=NIR%2FRED%2FGREEN;chipwidth=1;"), "landsat_chips")</f>
        <v>landsat_chips</v>
      </c>
      <c r="I342" s="4" t="str">
        <f>HYPERLINK(CONCATENATE("https://livingatlas.arcgis.com/wayback/#ext=-76.44244604249093,43.123616991545475,-76.44044604249092,43.12161699154548"), "wayback")</f>
        <v>wayback</v>
      </c>
      <c r="J342" s="9" t="s">
        <v>17</v>
      </c>
      <c r="L342" s="9" t="s">
        <v>15</v>
      </c>
      <c r="M342" s="9" t="s">
        <v>84</v>
      </c>
    </row>
    <row r="343" spans="1:13">
      <c r="A343" s="1" t="s">
        <v>13</v>
      </c>
      <c r="B343" s="1">
        <v>342</v>
      </c>
      <c r="C343" s="1">
        <v>2001</v>
      </c>
      <c r="D343" s="1">
        <v>2002</v>
      </c>
      <c r="E343" s="1">
        <v>37.400977316613222</v>
      </c>
      <c r="F343" s="1">
        <v>-108.58824740317981</v>
      </c>
      <c r="G343" s="4" t="str">
        <f>HYPERLINK(CONCATENATE("https://ee-faluhong.projects.earthengine.app/view/isp-ts-evaluation#id=342 2001-&gt;2002;lat=37.40097731661322;lon=-108.5882474031798;year=2001;bf=7;level=18;"), "landsat_time_series")</f>
        <v>landsat_time_series</v>
      </c>
      <c r="H343" s="4" t="str">
        <f>HYPERLINK(CONCATENATE("https://jstnbraaten.users.earthengine.app/view/landsat-timeseries-explorer#run=true;lon=-108.5882474031798;lat=37.40097731661322;from=01-01;to=12-31;index=NDVI;rgb=NIR%2FRED%2FGREEN;chipwidth=1;"), "landsat_chips")</f>
        <v>landsat_chips</v>
      </c>
      <c r="I343" s="4" t="str">
        <f>HYPERLINK(CONCATENATE("https://livingatlas.arcgis.com/wayback/#ext=-108.58924740317981,37.40197731661322,-108.5872474031798,37.399977316613224"), "wayback")</f>
        <v>wayback</v>
      </c>
      <c r="J343" s="9" t="s">
        <v>17</v>
      </c>
      <c r="L343" s="9" t="s">
        <v>24</v>
      </c>
      <c r="M343" s="9" t="s">
        <v>91</v>
      </c>
    </row>
    <row r="344" spans="1:13">
      <c r="A344" s="1" t="s">
        <v>13</v>
      </c>
      <c r="B344" s="1">
        <v>343</v>
      </c>
      <c r="C344" s="1">
        <v>2001</v>
      </c>
      <c r="D344" s="1">
        <v>2002</v>
      </c>
      <c r="E344" s="1">
        <v>38.054288602061533</v>
      </c>
      <c r="F344" s="1">
        <v>-80.997698705186195</v>
      </c>
      <c r="G344" s="4" t="str">
        <f>HYPERLINK(CONCATENATE("https://ee-faluhong.projects.earthengine.app/view/isp-ts-evaluation#id=343 2001-&gt;2002;lat=38.05428860206153;lon=-80.9976987051862;year=2001;bf=7;level=18;"), "landsat_time_series")</f>
        <v>landsat_time_series</v>
      </c>
      <c r="H344" s="4" t="str">
        <f>HYPERLINK(CONCATENATE("https://jstnbraaten.users.earthengine.app/view/landsat-timeseries-explorer#run=true;lon=-80.9976987051862;lat=38.05428860206153;from=01-01;to=12-31;index=NDVI;rgb=NIR%2FRED%2FGREEN;chipwidth=1;"), "landsat_chips")</f>
        <v>landsat_chips</v>
      </c>
      <c r="I344" s="4" t="str">
        <f>HYPERLINK(CONCATENATE("https://livingatlas.arcgis.com/wayback/#ext=-80.9986987051862,38.05528860206153,-80.99669870518619,38.053288602061535"), "wayback")</f>
        <v>wayback</v>
      </c>
      <c r="J344" s="9" t="s">
        <v>19</v>
      </c>
      <c r="L344" s="9" t="s">
        <v>15</v>
      </c>
      <c r="M344" s="9" t="s">
        <v>20</v>
      </c>
    </row>
    <row r="345" spans="1:13">
      <c r="A345" s="1" t="s">
        <v>13</v>
      </c>
      <c r="B345" s="1">
        <v>344</v>
      </c>
      <c r="C345" s="1">
        <v>2017</v>
      </c>
      <c r="D345" s="1">
        <v>2018</v>
      </c>
      <c r="E345" s="1">
        <v>35.356480806750668</v>
      </c>
      <c r="F345" s="1">
        <v>-118.8963292849914</v>
      </c>
      <c r="G345" s="4" t="str">
        <f>HYPERLINK(CONCATENATE("https://ee-faluhong.projects.earthengine.app/view/isp-ts-evaluation#id=344 2017-&gt;2018;lat=35.35648080675067;lon=-118.8963292849914;year=2017;bf=7;level=18;"), "landsat_time_series")</f>
        <v>landsat_time_series</v>
      </c>
      <c r="H345" s="4" t="str">
        <f>HYPERLINK(CONCATENATE("https://jstnbraaten.users.earthengine.app/view/landsat-timeseries-explorer#run=true;lon=-118.8963292849914;lat=35.35648080675067;from=01-01;to=12-31;index=NDVI;rgb=NIR%2FRED%2FGREEN;chipwidth=1;"), "landsat_chips")</f>
        <v>landsat_chips</v>
      </c>
      <c r="I345" s="4" t="str">
        <f>HYPERLINK(CONCATENATE("https://livingatlas.arcgis.com/wayback/#ext=-118.8973292849914,35.357480806750665,-118.89532928499139,35.35548080675067"), "wayback")</f>
        <v>wayback</v>
      </c>
      <c r="J345" s="9" t="s">
        <v>17</v>
      </c>
      <c r="L345" s="9" t="s">
        <v>31</v>
      </c>
      <c r="M345" s="9" t="s">
        <v>92</v>
      </c>
    </row>
    <row r="346" spans="1:13">
      <c r="A346" s="1" t="s">
        <v>13</v>
      </c>
      <c r="B346" s="1">
        <v>345</v>
      </c>
      <c r="C346" s="1">
        <v>2004</v>
      </c>
      <c r="D346" s="1">
        <v>2005</v>
      </c>
      <c r="E346" s="1">
        <v>30.535745011292381</v>
      </c>
      <c r="F346" s="1">
        <v>-97.894299084505036</v>
      </c>
      <c r="G346" s="4" t="str">
        <f>HYPERLINK(CONCATENATE("https://ee-faluhong.projects.earthengine.app/view/isp-ts-evaluation#id=345 2004-&gt;2005;lat=30.53574501129238;lon=-97.89429908450504;year=2004;bf=7;level=18;"), "landsat_time_series")</f>
        <v>landsat_time_series</v>
      </c>
      <c r="H346" s="4" t="str">
        <f>HYPERLINK(CONCATENATE("https://jstnbraaten.users.earthengine.app/view/landsat-timeseries-explorer#run=true;lon=-97.89429908450504;lat=30.53574501129238;from=01-01;to=12-31;index=NDVI;rgb=NIR%2FRED%2FGREEN;chipwidth=1;"), "landsat_chips")</f>
        <v>landsat_chips</v>
      </c>
      <c r="I346" s="4" t="str">
        <f>HYPERLINK(CONCATENATE("https://livingatlas.arcgis.com/wayback/#ext=-97.89529908450504,30.536745011292382,-97.89329908450503,30.53474501129238"), "wayback")</f>
        <v>wayback</v>
      </c>
      <c r="J346" s="9" t="s">
        <v>14</v>
      </c>
      <c r="L346" s="9" t="s">
        <v>24</v>
      </c>
      <c r="M346" s="9" t="s">
        <v>85</v>
      </c>
    </row>
    <row r="347" spans="1:13">
      <c r="A347" s="1" t="s">
        <v>13</v>
      </c>
      <c r="B347" s="1">
        <v>346</v>
      </c>
      <c r="C347" s="1">
        <v>2018</v>
      </c>
      <c r="D347" s="1">
        <v>2019</v>
      </c>
      <c r="E347" s="1">
        <v>30.888861146324629</v>
      </c>
      <c r="F347" s="1">
        <v>-87.772939521222611</v>
      </c>
      <c r="G347" s="4" t="str">
        <f>HYPERLINK(CONCATENATE("https://ee-faluhong.projects.earthengine.app/view/isp-ts-evaluation#id=346 2018-&gt;2019;lat=30.88886114632463;lon=-87.77293952122261;year=2018;bf=7;level=18;"), "landsat_time_series")</f>
        <v>landsat_time_series</v>
      </c>
      <c r="H347" s="4" t="str">
        <f>HYPERLINK(CONCATENATE("https://jstnbraaten.users.earthengine.app/view/landsat-timeseries-explorer#run=true;lon=-87.77293952122261;lat=30.88886114632463;from=01-01;to=12-31;index=NDVI;rgb=NIR%2FRED%2FGREEN;chipwidth=1;"), "landsat_chips")</f>
        <v>landsat_chips</v>
      </c>
      <c r="I347" s="4" t="str">
        <f>HYPERLINK(CONCATENATE("https://livingatlas.arcgis.com/wayback/#ext=-87.77393952122262,30.88986114632463,-87.7719395212226,30.887861146324628"), "wayback")</f>
        <v>wayback</v>
      </c>
      <c r="J347" s="9" t="s">
        <v>25</v>
      </c>
      <c r="K347" s="9" t="s">
        <v>26</v>
      </c>
      <c r="L347" s="9" t="s">
        <v>15</v>
      </c>
      <c r="M347" s="9" t="s">
        <v>93</v>
      </c>
    </row>
    <row r="348" spans="1:13">
      <c r="A348" s="1" t="s">
        <v>13</v>
      </c>
      <c r="B348" s="1">
        <v>347</v>
      </c>
      <c r="C348" s="1">
        <v>2012</v>
      </c>
      <c r="D348" s="1">
        <v>2013</v>
      </c>
      <c r="E348" s="1">
        <v>27.056628520730879</v>
      </c>
      <c r="F348" s="1">
        <v>-80.439928070634721</v>
      </c>
      <c r="G348" s="4" t="str">
        <f>HYPERLINK(CONCATENATE("https://ee-faluhong.projects.earthengine.app/view/isp-ts-evaluation#id=347 2012-&gt;2013;lat=27.05662852073088;lon=-80.43992807063472;year=2012;bf=7;level=18;"), "landsat_time_series")</f>
        <v>landsat_time_series</v>
      </c>
      <c r="H348" s="4" t="str">
        <f>HYPERLINK(CONCATENATE("https://jstnbraaten.users.earthengine.app/view/landsat-timeseries-explorer#run=true;lon=-80.43992807063472;lat=27.05662852073088;from=01-01;to=12-31;index=NDVI;rgb=NIR%2FRED%2FGREEN;chipwidth=1;"), "landsat_chips")</f>
        <v>landsat_chips</v>
      </c>
      <c r="I348" s="4" t="str">
        <f>HYPERLINK(CONCATENATE("https://livingatlas.arcgis.com/wayback/#ext=-80.44092807063473,27.05762852073088,-80.43892807063472,27.055628520730878"), "wayback")</f>
        <v>wayback</v>
      </c>
      <c r="J348" s="9" t="s">
        <v>19</v>
      </c>
      <c r="L348" s="11">
        <v>1</v>
      </c>
      <c r="M348" s="9" t="s">
        <v>22</v>
      </c>
    </row>
    <row r="349" spans="1:13">
      <c r="A349" s="1" t="s">
        <v>13</v>
      </c>
      <c r="B349" s="1">
        <v>348</v>
      </c>
      <c r="C349" s="1">
        <v>2013</v>
      </c>
      <c r="D349" s="1">
        <v>2014</v>
      </c>
      <c r="E349" s="1">
        <v>45.062196303743377</v>
      </c>
      <c r="F349" s="1">
        <v>-92.374884122160097</v>
      </c>
      <c r="G349" s="4" t="str">
        <f>HYPERLINK(CONCATENATE("https://ee-faluhong.projects.earthengine.app/view/isp-ts-evaluation#id=348 2013-&gt;2014;lat=45.06219630374338;lon=-92.3748841221601;year=2013;bf=7;level=18;"), "landsat_time_series")</f>
        <v>landsat_time_series</v>
      </c>
      <c r="H349" s="4" t="str">
        <f>HYPERLINK(CONCATENATE("https://jstnbraaten.users.earthengine.app/view/landsat-timeseries-explorer#run=true;lon=-92.3748841221601;lat=45.06219630374338;from=01-01;to=12-31;index=NDVI;rgb=NIR%2FRED%2FGREEN;chipwidth=1;"), "landsat_chips")</f>
        <v>landsat_chips</v>
      </c>
      <c r="I349" s="4" t="str">
        <f>HYPERLINK(CONCATENATE("https://livingatlas.arcgis.com/wayback/#ext=-92.3758841221601,45.063196303743375,-92.37388412216009,45.06119630374338"), "wayback")</f>
        <v>wayback</v>
      </c>
      <c r="J349" s="9" t="s">
        <v>17</v>
      </c>
      <c r="L349" s="9" t="s">
        <v>15</v>
      </c>
      <c r="M349" s="9" t="s">
        <v>22</v>
      </c>
    </row>
    <row r="350" spans="1:13">
      <c r="A350" s="1" t="s">
        <v>13</v>
      </c>
      <c r="B350" s="1">
        <v>349</v>
      </c>
      <c r="C350" s="1">
        <v>2006</v>
      </c>
      <c r="D350" s="1">
        <v>2007</v>
      </c>
      <c r="E350" s="1">
        <v>28.757994231221701</v>
      </c>
      <c r="F350" s="1">
        <v>-95.679548710797889</v>
      </c>
      <c r="G350" s="4" t="str">
        <f>HYPERLINK(CONCATENATE("https://ee-faluhong.projects.earthengine.app/view/isp-ts-evaluation#id=349 2006-&gt;2007;lat=28.7579942312217;lon=-95.67954871079789;year=2006;bf=7;level=18;"), "landsat_time_series")</f>
        <v>landsat_time_series</v>
      </c>
      <c r="H350" s="4" t="str">
        <f>HYPERLINK(CONCATENATE("https://jstnbraaten.users.earthengine.app/view/landsat-timeseries-explorer#run=true;lon=-95.67954871079789;lat=28.7579942312217;from=01-01;to=12-31;index=NDVI;rgb=NIR%2FRED%2FGREEN;chipwidth=1;"), "landsat_chips")</f>
        <v>landsat_chips</v>
      </c>
      <c r="I350" s="4" t="str">
        <f>HYPERLINK(CONCATENATE("https://livingatlas.arcgis.com/wayback/#ext=-95.6805487107979,28.758994231221703,-95.67854871079788,28.7569942312217"), "wayback")</f>
        <v>wayback</v>
      </c>
      <c r="J350" s="9" t="s">
        <v>19</v>
      </c>
      <c r="L350" s="9" t="s">
        <v>15</v>
      </c>
      <c r="M350" s="9" t="s">
        <v>94</v>
      </c>
    </row>
    <row r="351" spans="1:13">
      <c r="A351" s="1" t="s">
        <v>13</v>
      </c>
      <c r="B351" s="1">
        <v>350</v>
      </c>
      <c r="C351" s="1">
        <v>2003</v>
      </c>
      <c r="D351" s="1">
        <v>2004</v>
      </c>
      <c r="E351" s="1">
        <v>34.369254667466251</v>
      </c>
      <c r="F351" s="1">
        <v>-82.927182432908054</v>
      </c>
      <c r="G351" s="4" t="str">
        <f>HYPERLINK(CONCATENATE("https://ee-faluhong.projects.earthengine.app/view/isp-ts-evaluation#id=350 2003-&gt;2004;lat=34.36925466746625;lon=-82.92718243290805;year=2003;bf=7;level=18;"), "landsat_time_series")</f>
        <v>landsat_time_series</v>
      </c>
      <c r="H351" s="4" t="str">
        <f>HYPERLINK(CONCATENATE("https://jstnbraaten.users.earthengine.app/view/landsat-timeseries-explorer#run=true;lon=-82.92718243290805;lat=34.36925466746625;from=01-01;to=12-31;index=NDVI;rgb=NIR%2FRED%2FGREEN;chipwidth=1;"), "landsat_chips")</f>
        <v>landsat_chips</v>
      </c>
      <c r="I351" s="4" t="str">
        <f>HYPERLINK(CONCATENATE("https://livingatlas.arcgis.com/wayback/#ext=-82.92818243290806,34.37025466746625,-82.92618243290805,34.36825466746625"), "wayback")</f>
        <v>wayback</v>
      </c>
      <c r="J351" s="9" t="s">
        <v>14</v>
      </c>
      <c r="L351" s="9" t="s">
        <v>15</v>
      </c>
      <c r="M351" s="9" t="s">
        <v>33</v>
      </c>
    </row>
    <row r="352" spans="1:13">
      <c r="A352" s="1" t="s">
        <v>13</v>
      </c>
      <c r="B352" s="1">
        <v>351</v>
      </c>
      <c r="C352" s="1">
        <v>2000</v>
      </c>
      <c r="D352" s="1">
        <v>2001</v>
      </c>
      <c r="E352" s="1">
        <v>33.286382521939139</v>
      </c>
      <c r="F352" s="1">
        <v>-84.254473194336697</v>
      </c>
      <c r="G352" s="4" t="str">
        <f>HYPERLINK(CONCATENATE("https://ee-faluhong.projects.earthengine.app/view/isp-ts-evaluation#id=351 2000-&gt;2001;lat=33.28638252193914;lon=-84.2544731943367;year=2000;bf=7;level=18;"), "landsat_time_series")</f>
        <v>landsat_time_series</v>
      </c>
      <c r="H352" s="4" t="str">
        <f>HYPERLINK(CONCATENATE("https://jstnbraaten.users.earthengine.app/view/landsat-timeseries-explorer#run=true;lon=-84.2544731943367;lat=33.28638252193914;from=01-01;to=12-31;index=NDVI;rgb=NIR%2FRED%2FGREEN;chipwidth=1;"), "landsat_chips")</f>
        <v>landsat_chips</v>
      </c>
      <c r="I352" s="4" t="str">
        <f>HYPERLINK(CONCATENATE("https://livingatlas.arcgis.com/wayback/#ext=-84.2554731943367,33.287382521939136,-84.25347319433669,33.28538252193914"), "wayback")</f>
        <v>wayback</v>
      </c>
      <c r="J352" s="9" t="s">
        <v>21</v>
      </c>
      <c r="L352" s="9" t="s">
        <v>24</v>
      </c>
      <c r="M352" s="9" t="s">
        <v>95</v>
      </c>
    </row>
    <row r="353" spans="1:13">
      <c r="A353" s="1" t="s">
        <v>13</v>
      </c>
      <c r="B353" s="1">
        <v>352</v>
      </c>
      <c r="C353" s="1">
        <v>2005</v>
      </c>
      <c r="D353" s="1">
        <v>2006</v>
      </c>
      <c r="E353" s="1">
        <v>32.619547000665371</v>
      </c>
      <c r="F353" s="1">
        <v>-95.83861229169527</v>
      </c>
      <c r="G353" s="4" t="str">
        <f>HYPERLINK(CONCATENATE("https://ee-faluhong.projects.earthengine.app/view/isp-ts-evaluation#id=352 2005-&gt;2006;lat=32.61954700066537;lon=-95.83861229169527;year=2005;bf=7;level=18;"), "landsat_time_series")</f>
        <v>landsat_time_series</v>
      </c>
      <c r="H353" s="4" t="str">
        <f>HYPERLINK(CONCATENATE("https://jstnbraaten.users.earthengine.app/view/landsat-timeseries-explorer#run=true;lon=-95.83861229169527;lat=32.61954700066537;from=01-01;to=12-31;index=NDVI;rgb=NIR%2FRED%2FGREEN;chipwidth=1;"), "landsat_chips")</f>
        <v>landsat_chips</v>
      </c>
      <c r="I353" s="4" t="str">
        <f>HYPERLINK(CONCATENATE("https://livingatlas.arcgis.com/wayback/#ext=-95.83961229169527,32.62054700066537,-95.83761229169527,32.61854700066537"), "wayback")</f>
        <v>wayback</v>
      </c>
      <c r="J353" s="9" t="s">
        <v>19</v>
      </c>
      <c r="L353" s="9" t="s">
        <v>15</v>
      </c>
      <c r="M353" s="9" t="s">
        <v>96</v>
      </c>
    </row>
    <row r="354" spans="1:13">
      <c r="A354" s="1" t="s">
        <v>13</v>
      </c>
      <c r="B354" s="1">
        <v>353</v>
      </c>
      <c r="C354" s="1">
        <v>2019</v>
      </c>
      <c r="D354" s="1">
        <v>2020</v>
      </c>
      <c r="E354" s="1">
        <v>38.445990262190882</v>
      </c>
      <c r="F354" s="1">
        <v>-90.203933859008771</v>
      </c>
      <c r="G354" s="4" t="str">
        <f>HYPERLINK(CONCATENATE("https://ee-faluhong.projects.earthengine.app/view/isp-ts-evaluation#id=353 2019-&gt;2020;lat=38.44599026219088;lon=-90.20393385900877;year=2019;bf=7;level=18;"), "landsat_time_series")</f>
        <v>landsat_time_series</v>
      </c>
      <c r="H354" s="4" t="str">
        <f>HYPERLINK(CONCATENATE("https://jstnbraaten.users.earthengine.app/view/landsat-timeseries-explorer#run=true;lon=-90.20393385900877;lat=38.44599026219088;from=01-01;to=12-31;index=NDVI;rgb=NIR%2FRED%2FGREEN;chipwidth=1;"), "landsat_chips")</f>
        <v>landsat_chips</v>
      </c>
      <c r="I354" s="4" t="str">
        <f>HYPERLINK(CONCATENATE("https://livingatlas.arcgis.com/wayback/#ext=-90.20493385900878,38.44699026219088,-90.20293385900877,38.444990262190885"), "wayback")</f>
        <v>wayback</v>
      </c>
      <c r="J354" s="9" t="s">
        <v>17</v>
      </c>
      <c r="L354" s="9" t="s">
        <v>15</v>
      </c>
      <c r="M354" s="9" t="s">
        <v>97</v>
      </c>
    </row>
    <row r="355" spans="1:13">
      <c r="A355" s="1" t="s">
        <v>13</v>
      </c>
      <c r="B355" s="1">
        <v>354</v>
      </c>
      <c r="C355" s="1">
        <v>2004</v>
      </c>
      <c r="D355" s="1">
        <v>2005</v>
      </c>
      <c r="E355" s="1">
        <v>44.374481516130018</v>
      </c>
      <c r="F355" s="1">
        <v>-74.678628208930235</v>
      </c>
      <c r="G355" s="4" t="str">
        <f>HYPERLINK(CONCATENATE("https://ee-faluhong.projects.earthengine.app/view/isp-ts-evaluation#id=354 2004-&gt;2005;lat=44.37448151613002;lon=-74.67862820893023;year=2004;bf=7;level=18;"), "landsat_time_series")</f>
        <v>landsat_time_series</v>
      </c>
      <c r="H355" s="4" t="str">
        <f>HYPERLINK(CONCATENATE("https://jstnbraaten.users.earthengine.app/view/landsat-timeseries-explorer#run=true;lon=-74.67862820893023;lat=44.37448151613002;from=01-01;to=12-31;index=NDVI;rgb=NIR%2FRED%2FGREEN;chipwidth=1;"), "landsat_chips")</f>
        <v>landsat_chips</v>
      </c>
      <c r="I355" s="4" t="str">
        <f>HYPERLINK(CONCATENATE("https://livingatlas.arcgis.com/wayback/#ext=-74.67962820893024,44.375481516130016,-74.67762820893023,44.37348151613002"), "wayback")</f>
        <v>wayback</v>
      </c>
      <c r="J355" s="9" t="s">
        <v>19</v>
      </c>
      <c r="L355" s="9" t="s">
        <v>15</v>
      </c>
      <c r="M355" s="9" t="s">
        <v>20</v>
      </c>
    </row>
    <row r="356" spans="1:13">
      <c r="A356" s="1" t="s">
        <v>13</v>
      </c>
      <c r="B356" s="1">
        <v>355</v>
      </c>
      <c r="C356" s="1">
        <v>2017</v>
      </c>
      <c r="D356" s="1">
        <v>2018</v>
      </c>
      <c r="E356" s="1">
        <v>34.187818485917013</v>
      </c>
      <c r="F356" s="1">
        <v>-93.490442123589943</v>
      </c>
      <c r="G356" s="4" t="str">
        <f>HYPERLINK(CONCATENATE("https://ee-faluhong.projects.earthengine.app/view/isp-ts-evaluation#id=355 2017-&gt;2018;lat=34.18781848591701;lon=-93.49044212358994;year=2017;bf=7;level=18;"), "landsat_time_series")</f>
        <v>landsat_time_series</v>
      </c>
      <c r="H356" s="4" t="str">
        <f>HYPERLINK(CONCATENATE("https://jstnbraaten.users.earthengine.app/view/landsat-timeseries-explorer#run=true;lon=-93.49044212358994;lat=34.18781848591701;from=01-01;to=12-31;index=NDVI;rgb=NIR%2FRED%2FGREEN;chipwidth=1;"), "landsat_chips")</f>
        <v>landsat_chips</v>
      </c>
      <c r="I356" s="4" t="str">
        <f>HYPERLINK(CONCATENATE("https://livingatlas.arcgis.com/wayback/#ext=-93.49144212358995,34.18881848591701,-93.48944212358994,34.186818485917016"), "wayback")</f>
        <v>wayback</v>
      </c>
      <c r="J356" s="9" t="s">
        <v>17</v>
      </c>
      <c r="L356" s="9" t="s">
        <v>15</v>
      </c>
      <c r="M356" s="9" t="s">
        <v>18</v>
      </c>
    </row>
    <row r="357" spans="1:13">
      <c r="A357" s="1" t="s">
        <v>13</v>
      </c>
      <c r="B357" s="1">
        <v>356</v>
      </c>
      <c r="C357" s="1">
        <v>2017</v>
      </c>
      <c r="D357" s="1">
        <v>2018</v>
      </c>
      <c r="E357" s="1">
        <v>46.197024992386993</v>
      </c>
      <c r="F357" s="1">
        <v>-119.2447402207933</v>
      </c>
      <c r="G357" s="4" t="str">
        <f>HYPERLINK(CONCATENATE("https://ee-faluhong.projects.earthengine.app/view/isp-ts-evaluation#id=356 2017-&gt;2018;lat=46.19702499238699;lon=-119.2447402207933;year=2017;bf=7;level=18;"), "landsat_time_series")</f>
        <v>landsat_time_series</v>
      </c>
      <c r="H357" s="4" t="str">
        <f>HYPERLINK(CONCATENATE("https://jstnbraaten.users.earthengine.app/view/landsat-timeseries-explorer#run=true;lon=-119.2447402207933;lat=46.19702499238699;from=01-01;to=12-31;index=NDVI;rgb=NIR%2FRED%2FGREEN;chipwidth=1;"), "landsat_chips")</f>
        <v>landsat_chips</v>
      </c>
      <c r="I357" s="4" t="str">
        <f>HYPERLINK(CONCATENATE("https://livingatlas.arcgis.com/wayback/#ext=-119.24574022079331,46.19802499238699,-119.2437402207933,46.196024992386995"), "wayback")</f>
        <v>wayback</v>
      </c>
      <c r="J357" s="9" t="s">
        <v>19</v>
      </c>
      <c r="L357" s="9" t="s">
        <v>15</v>
      </c>
      <c r="M357" s="9" t="s">
        <v>98</v>
      </c>
    </row>
    <row r="358" spans="1:13">
      <c r="A358" s="1" t="s">
        <v>13</v>
      </c>
      <c r="B358" s="1">
        <v>357</v>
      </c>
      <c r="C358" s="1">
        <v>2016</v>
      </c>
      <c r="D358" s="1">
        <v>2017</v>
      </c>
      <c r="E358" s="1">
        <v>35.380899265706283</v>
      </c>
      <c r="F358" s="1">
        <v>-88.897468355492848</v>
      </c>
      <c r="G358" s="4" t="str">
        <f>HYPERLINK(CONCATENATE("https://ee-faluhong.projects.earthengine.app/view/isp-ts-evaluation#id=357 2016-&gt;2017;lat=35.38089926570628;lon=-88.89746835549285;year=2016;bf=7;level=18;"), "landsat_time_series")</f>
        <v>landsat_time_series</v>
      </c>
      <c r="H358" s="4" t="str">
        <f>HYPERLINK(CONCATENATE("https://jstnbraaten.users.earthengine.app/view/landsat-timeseries-explorer#run=true;lon=-88.89746835549285;lat=35.38089926570628;from=01-01;to=12-31;index=NDVI;rgb=NIR%2FRED%2FGREEN;chipwidth=1;"), "landsat_chips")</f>
        <v>landsat_chips</v>
      </c>
      <c r="I358" s="4" t="str">
        <f>HYPERLINK(CONCATENATE("https://livingatlas.arcgis.com/wayback/#ext=-88.89846835549285,35.38189926570628,-88.89646835549284,35.379899265706285"), "wayback")</f>
        <v>wayback</v>
      </c>
      <c r="J358" s="9" t="s">
        <v>17</v>
      </c>
      <c r="L358" s="9" t="s">
        <v>15</v>
      </c>
      <c r="M358" s="9" t="s">
        <v>18</v>
      </c>
    </row>
    <row r="359" spans="1:13">
      <c r="A359" s="1" t="s">
        <v>13</v>
      </c>
      <c r="B359" s="1">
        <v>358</v>
      </c>
      <c r="C359" s="1">
        <v>2009</v>
      </c>
      <c r="D359" s="1">
        <v>2010</v>
      </c>
      <c r="E359" s="1">
        <v>33.192950045856222</v>
      </c>
      <c r="F359" s="1">
        <v>-92.924738148645233</v>
      </c>
      <c r="G359" s="4" t="str">
        <f>HYPERLINK(CONCATENATE("https://ee-faluhong.projects.earthengine.app/view/isp-ts-evaluation#id=358 2009-&gt;2010;lat=33.19295004585622;lon=-92.92473814864523;year=2009;bf=7;level=18;"), "landsat_time_series")</f>
        <v>landsat_time_series</v>
      </c>
      <c r="H359" s="4" t="str">
        <f>HYPERLINK(CONCATENATE("https://jstnbraaten.users.earthengine.app/view/landsat-timeseries-explorer#run=true;lon=-92.92473814864523;lat=33.19295004585622;from=01-01;to=12-31;index=NDVI;rgb=NIR%2FRED%2FGREEN;chipwidth=1;"), "landsat_chips")</f>
        <v>landsat_chips</v>
      </c>
      <c r="I359" s="4" t="str">
        <f>HYPERLINK(CONCATENATE("https://livingatlas.arcgis.com/wayback/#ext=-92.92573814864524,33.19395004585622,-92.92373814864523,33.191950045856224"), "wayback")</f>
        <v>wayback</v>
      </c>
      <c r="J359" s="9" t="s">
        <v>17</v>
      </c>
      <c r="L359" s="9" t="s">
        <v>15</v>
      </c>
      <c r="M359" s="9" t="s">
        <v>18</v>
      </c>
    </row>
    <row r="360" spans="1:13">
      <c r="A360" s="1" t="s">
        <v>13</v>
      </c>
      <c r="B360" s="1">
        <v>359</v>
      </c>
      <c r="C360" s="1">
        <v>2000</v>
      </c>
      <c r="D360" s="1">
        <v>2001</v>
      </c>
      <c r="E360" s="1">
        <v>40.869175847901587</v>
      </c>
      <c r="F360" s="1">
        <v>-85.174564700656006</v>
      </c>
      <c r="G360" s="4" t="str">
        <f>HYPERLINK(CONCATENATE("https://ee-faluhong.projects.earthengine.app/view/isp-ts-evaluation#id=359 2000-&gt;2001;lat=40.86917584790159;lon=-85.174564700656;year=2000;bf=7;level=18;"), "landsat_time_series")</f>
        <v>landsat_time_series</v>
      </c>
      <c r="H360" s="4" t="str">
        <f>HYPERLINK(CONCATENATE("https://jstnbraaten.users.earthengine.app/view/landsat-timeseries-explorer#run=true;lon=-85.174564700656;lat=40.86917584790159;from=01-01;to=12-31;index=NDVI;rgb=NIR%2FRED%2FGREEN;chipwidth=1;"), "landsat_chips")</f>
        <v>landsat_chips</v>
      </c>
      <c r="I360" s="4" t="str">
        <f>HYPERLINK(CONCATENATE("https://livingatlas.arcgis.com/wayback/#ext=-85.17556470065601,40.870175847901585,-85.173564700656,40.86817584790159"), "wayback")</f>
        <v>wayback</v>
      </c>
      <c r="J360" s="9" t="s">
        <v>14</v>
      </c>
      <c r="L360" s="9" t="s">
        <v>15</v>
      </c>
      <c r="M360" s="9" t="s">
        <v>16</v>
      </c>
    </row>
    <row r="361" spans="1:13">
      <c r="A361" s="1" t="s">
        <v>13</v>
      </c>
      <c r="B361" s="1">
        <v>360</v>
      </c>
      <c r="C361" s="1">
        <v>2017</v>
      </c>
      <c r="D361" s="1">
        <v>2018</v>
      </c>
      <c r="E361" s="1">
        <v>37.312618918342039</v>
      </c>
      <c r="F361" s="1">
        <v>-80.602269171699987</v>
      </c>
      <c r="G361" s="4" t="str">
        <f>HYPERLINK(CONCATENATE("https://ee-faluhong.projects.earthengine.app/view/isp-ts-evaluation#id=360 2017-&gt;2018;lat=37.31261891834204;lon=-80.60226917169999;year=2017;bf=7;level=18;"), "landsat_time_series")</f>
        <v>landsat_time_series</v>
      </c>
      <c r="H361" s="4" t="str">
        <f>HYPERLINK(CONCATENATE("https://jstnbraaten.users.earthengine.app/view/landsat-timeseries-explorer#run=true;lon=-80.60226917169999;lat=37.31261891834204;from=01-01;to=12-31;index=NDVI;rgb=NIR%2FRED%2FGREEN;chipwidth=1;"), "landsat_chips")</f>
        <v>landsat_chips</v>
      </c>
      <c r="I361" s="4" t="str">
        <f>HYPERLINK(CONCATENATE("https://livingatlas.arcgis.com/wayback/#ext=-80.60326917169999,37.31361891834204,-80.60126917169998,37.31161891834204"), "wayback")</f>
        <v>wayback</v>
      </c>
      <c r="J361" s="9" t="s">
        <v>19</v>
      </c>
      <c r="L361" s="9" t="s">
        <v>15</v>
      </c>
      <c r="M361" s="9" t="s">
        <v>20</v>
      </c>
    </row>
    <row r="362" spans="1:13">
      <c r="A362" s="1" t="s">
        <v>13</v>
      </c>
      <c r="B362" s="1">
        <v>361</v>
      </c>
      <c r="C362" s="1">
        <v>2018</v>
      </c>
      <c r="D362" s="1">
        <v>2019</v>
      </c>
      <c r="E362" s="1">
        <v>43.310629340524457</v>
      </c>
      <c r="F362" s="1">
        <v>-91.219158905191179</v>
      </c>
      <c r="G362" s="4" t="str">
        <f>HYPERLINK(CONCATENATE("https://ee-faluhong.projects.earthengine.app/view/isp-ts-evaluation#id=361 2018-&gt;2019;lat=43.31062934052446;lon=-91.21915890519118;year=2018;bf=7;level=18;"), "landsat_time_series")</f>
        <v>landsat_time_series</v>
      </c>
      <c r="H362" s="4" t="str">
        <f>HYPERLINK(CONCATENATE("https://jstnbraaten.users.earthengine.app/view/landsat-timeseries-explorer#run=true;lon=-91.21915890519118;lat=43.31062934052446;from=01-01;to=12-31;index=NDVI;rgb=NIR%2FRED%2FGREEN;chipwidth=1;"), "landsat_chips")</f>
        <v>landsat_chips</v>
      </c>
      <c r="I362" s="4" t="str">
        <f>HYPERLINK(CONCATENATE("https://livingatlas.arcgis.com/wayback/#ext=-91.22015890519118,43.311629340524455,-91.21815890519117,43.30962934052446"), "wayback")</f>
        <v>wayback</v>
      </c>
      <c r="J362" s="9" t="s">
        <v>19</v>
      </c>
      <c r="L362" s="11">
        <v>1</v>
      </c>
      <c r="M362" s="9" t="s">
        <v>20</v>
      </c>
    </row>
    <row r="363" spans="1:13">
      <c r="A363" s="1" t="s">
        <v>13</v>
      </c>
      <c r="B363" s="1">
        <v>362</v>
      </c>
      <c r="C363" s="1">
        <v>2006</v>
      </c>
      <c r="D363" s="1">
        <v>2007</v>
      </c>
      <c r="E363" s="1">
        <v>39.196944202651153</v>
      </c>
      <c r="F363" s="1">
        <v>-96.190371464005253</v>
      </c>
      <c r="G363" s="4" t="str">
        <f>HYPERLINK(CONCATENATE("https://ee-faluhong.projects.earthengine.app/view/isp-ts-evaluation#id=362 2006-&gt;2007;lat=39.19694420265115;lon=-96.19037146400525;year=2006;bf=7;level=18;"), "landsat_time_series")</f>
        <v>landsat_time_series</v>
      </c>
      <c r="H363" s="4" t="str">
        <f>HYPERLINK(CONCATENATE("https://jstnbraaten.users.earthengine.app/view/landsat-timeseries-explorer#run=true;lon=-96.19037146400525;lat=39.19694420265115;from=01-01;to=12-31;index=NDVI;rgb=NIR%2FRED%2FGREEN;chipwidth=1;"), "landsat_chips")</f>
        <v>landsat_chips</v>
      </c>
      <c r="I363" s="4" t="str">
        <f>HYPERLINK(CONCATENATE("https://livingatlas.arcgis.com/wayback/#ext=-96.19137146400526,39.19794420265115,-96.18937146400525,39.195944202651155"), "wayback")</f>
        <v>wayback</v>
      </c>
      <c r="J363" s="9" t="s">
        <v>19</v>
      </c>
      <c r="L363" s="9" t="s">
        <v>15</v>
      </c>
      <c r="M363" s="9" t="s">
        <v>99</v>
      </c>
    </row>
    <row r="364" spans="1:13">
      <c r="A364" s="1" t="s">
        <v>13</v>
      </c>
      <c r="B364" s="1">
        <v>363</v>
      </c>
      <c r="C364" s="1">
        <v>2011</v>
      </c>
      <c r="D364" s="1">
        <v>2012</v>
      </c>
      <c r="E364" s="1">
        <v>38.308782027227032</v>
      </c>
      <c r="F364" s="1">
        <v>-98.459026074536737</v>
      </c>
      <c r="G364" s="4" t="str">
        <f>HYPERLINK(CONCATENATE("https://ee-faluhong.projects.earthengine.app/view/isp-ts-evaluation#id=363 2011-&gt;2012;lat=38.30878202722703;lon=-98.45902607453674;year=2011;bf=7;level=18;"), "landsat_time_series")</f>
        <v>landsat_time_series</v>
      </c>
      <c r="H364" s="4" t="str">
        <f>HYPERLINK(CONCATENATE("https://jstnbraaten.users.earthengine.app/view/landsat-timeseries-explorer#run=true;lon=-98.45902607453674;lat=38.30878202722703;from=01-01;to=12-31;index=NDVI;rgb=NIR%2FRED%2FGREEN;chipwidth=1;"), "landsat_chips")</f>
        <v>landsat_chips</v>
      </c>
      <c r="I364" s="4" t="str">
        <f>HYPERLINK(CONCATENATE("https://livingatlas.arcgis.com/wayback/#ext=-98.46002607453674,38.30978202722703,-98.45802607453673,38.307782027227034"), "wayback")</f>
        <v>wayback</v>
      </c>
      <c r="J364" s="9" t="s">
        <v>27</v>
      </c>
      <c r="L364" s="9" t="s">
        <v>15</v>
      </c>
    </row>
    <row r="365" spans="1:13">
      <c r="A365" s="1" t="s">
        <v>13</v>
      </c>
      <c r="B365" s="1">
        <v>364</v>
      </c>
      <c r="C365" s="1">
        <v>2011</v>
      </c>
      <c r="D365" s="1">
        <v>2012</v>
      </c>
      <c r="E365" s="1">
        <v>44.458201326140703</v>
      </c>
      <c r="F365" s="1">
        <v>-97.775658634653368</v>
      </c>
      <c r="G365" s="4" t="str">
        <f>HYPERLINK(CONCATENATE("https://ee-faluhong.projects.earthengine.app/view/isp-ts-evaluation#id=364 2011-&gt;2012;lat=44.4582013261407;lon=-97.77565863465337;year=2011;bf=7;level=18;"), "landsat_time_series")</f>
        <v>landsat_time_series</v>
      </c>
      <c r="H365" s="4" t="str">
        <f>HYPERLINK(CONCATENATE("https://jstnbraaten.users.earthengine.app/view/landsat-timeseries-explorer#run=true;lon=-97.77565863465337;lat=44.4582013261407;from=01-01;to=12-31;index=NDVI;rgb=NIR%2FRED%2FGREEN;chipwidth=1;"), "landsat_chips")</f>
        <v>landsat_chips</v>
      </c>
      <c r="I365" s="4" t="str">
        <f>HYPERLINK(CONCATENATE("https://livingatlas.arcgis.com/wayback/#ext=-97.77665863465337,44.4592013261407,-97.77465863465336,44.457201326140705"), "wayback")</f>
        <v>wayback</v>
      </c>
      <c r="J365" s="9" t="s">
        <v>19</v>
      </c>
      <c r="L365" s="9" t="s">
        <v>15</v>
      </c>
      <c r="M365" s="9" t="s">
        <v>99</v>
      </c>
    </row>
    <row r="366" spans="1:13">
      <c r="A366" s="1" t="s">
        <v>13</v>
      </c>
      <c r="B366" s="1">
        <v>365</v>
      </c>
      <c r="C366" s="1">
        <v>2002</v>
      </c>
      <c r="D366" s="1">
        <v>2003</v>
      </c>
      <c r="E366" s="1">
        <v>39.33250328365127</v>
      </c>
      <c r="F366" s="1">
        <v>-106.8366395634109</v>
      </c>
      <c r="G366" s="4" t="str">
        <f>HYPERLINK(CONCATENATE("https://ee-faluhong.projects.earthengine.app/view/isp-ts-evaluation#id=365 2002-&gt;2003;lat=39.33250328365127;lon=-106.8366395634109;year=2002;bf=7;level=18;"), "landsat_time_series")</f>
        <v>landsat_time_series</v>
      </c>
      <c r="H366" s="4" t="str">
        <f>HYPERLINK(CONCATENATE("https://jstnbraaten.users.earthengine.app/view/landsat-timeseries-explorer#run=true;lon=-106.8366395634109;lat=39.33250328365127;from=01-01;to=12-31;index=NDVI;rgb=NIR%2FRED%2FGREEN;chipwidth=1;"), "landsat_chips")</f>
        <v>landsat_chips</v>
      </c>
      <c r="I366" s="4" t="str">
        <f>HYPERLINK(CONCATENATE("https://livingatlas.arcgis.com/wayback/#ext=-106.8376395634109,39.33350328365127,-106.8356395634109,39.33150328365127"), "wayback")</f>
        <v>wayback</v>
      </c>
      <c r="J366" s="9" t="s">
        <v>19</v>
      </c>
      <c r="L366" s="9" t="s">
        <v>15</v>
      </c>
      <c r="M366" s="9" t="s">
        <v>20</v>
      </c>
    </row>
    <row r="367" spans="1:13">
      <c r="A367" s="1" t="s">
        <v>13</v>
      </c>
      <c r="B367" s="1">
        <v>366</v>
      </c>
      <c r="C367" s="1">
        <v>2010</v>
      </c>
      <c r="D367" s="1">
        <v>2011</v>
      </c>
      <c r="E367" s="1">
        <v>46.176553086970081</v>
      </c>
      <c r="F367" s="1">
        <v>-119.1347181726336</v>
      </c>
      <c r="G367" s="4" t="str">
        <f>HYPERLINK(CONCATENATE("https://ee-faluhong.projects.earthengine.app/view/isp-ts-evaluation#id=366 2010-&gt;2011;lat=46.17655308697008;lon=-119.1347181726336;year=2010;bf=7;level=18;"), "landsat_time_series")</f>
        <v>landsat_time_series</v>
      </c>
      <c r="H367" s="4" t="str">
        <f>HYPERLINK(CONCATENATE("https://jstnbraaten.users.earthengine.app/view/landsat-timeseries-explorer#run=true;lon=-119.1347181726336;lat=46.17655308697008;from=01-01;to=12-31;index=NDVI;rgb=NIR%2FRED%2FGREEN;chipwidth=1;"), "landsat_chips")</f>
        <v>landsat_chips</v>
      </c>
      <c r="I367" s="4" t="str">
        <f>HYPERLINK(CONCATENATE("https://livingatlas.arcgis.com/wayback/#ext=-119.1357181726336,46.17755308697008,-119.13371817263359,46.17555308697008"), "wayback")</f>
        <v>wayback</v>
      </c>
      <c r="J367" s="9" t="s">
        <v>25</v>
      </c>
      <c r="K367" s="9" t="s">
        <v>26</v>
      </c>
      <c r="L367" s="9" t="s">
        <v>15</v>
      </c>
      <c r="M367" s="9" t="s">
        <v>36</v>
      </c>
    </row>
    <row r="368" spans="1:13">
      <c r="A368" s="1" t="s">
        <v>13</v>
      </c>
      <c r="B368" s="1">
        <v>367</v>
      </c>
      <c r="C368" s="1">
        <v>2000</v>
      </c>
      <c r="D368" s="1">
        <v>2001</v>
      </c>
      <c r="E368" s="1">
        <v>28.6324156898865</v>
      </c>
      <c r="F368" s="1">
        <v>-99.843780649372462</v>
      </c>
      <c r="G368" s="4" t="str">
        <f>HYPERLINK(CONCATENATE("https://ee-faluhong.projects.earthengine.app/view/isp-ts-evaluation#id=367 2000-&gt;2001;lat=28.6324156898865;lon=-99.84378064937246;year=2000;bf=7;level=18;"), "landsat_time_series")</f>
        <v>landsat_time_series</v>
      </c>
      <c r="H368" s="4" t="str">
        <f>HYPERLINK(CONCATENATE("https://jstnbraaten.users.earthengine.app/view/landsat-timeseries-explorer#run=true;lon=-99.84378064937246;lat=28.6324156898865;from=01-01;to=12-31;index=NDVI;rgb=NIR%2FRED%2FGREEN;chipwidth=1;"), "landsat_chips")</f>
        <v>landsat_chips</v>
      </c>
      <c r="I368" s="4" t="str">
        <f>HYPERLINK(CONCATENATE("https://livingatlas.arcgis.com/wayback/#ext=-99.84478064937247,28.6334156898865,-99.84278064937246,28.6314156898865"), "wayback")</f>
        <v>wayback</v>
      </c>
      <c r="J368" s="9" t="s">
        <v>34</v>
      </c>
      <c r="L368" s="9" t="s">
        <v>15</v>
      </c>
      <c r="M368" s="9" t="s">
        <v>18</v>
      </c>
    </row>
    <row r="369" spans="1:13">
      <c r="A369" s="1" t="s">
        <v>13</v>
      </c>
      <c r="B369" s="1">
        <v>368</v>
      </c>
      <c r="C369" s="1">
        <v>2016</v>
      </c>
      <c r="D369" s="1">
        <v>2017</v>
      </c>
      <c r="E369" s="1">
        <v>30.771735495597671</v>
      </c>
      <c r="F369" s="1">
        <v>-82.817959879440508</v>
      </c>
      <c r="G369" s="4" t="str">
        <f>HYPERLINK(CONCATENATE("https://ee-faluhong.projects.earthengine.app/view/isp-ts-evaluation#id=368 2016-&gt;2017;lat=30.77173549559767;lon=-82.81795987944051;year=2016;bf=7;level=18;"), "landsat_time_series")</f>
        <v>landsat_time_series</v>
      </c>
      <c r="H369" s="4" t="str">
        <f>HYPERLINK(CONCATENATE("https://jstnbraaten.users.earthengine.app/view/landsat-timeseries-explorer#run=true;lon=-82.81795987944051;lat=30.77173549559767;from=01-01;to=12-31;index=NDVI;rgb=NIR%2FRED%2FGREEN;chipwidth=1;"), "landsat_chips")</f>
        <v>landsat_chips</v>
      </c>
      <c r="I369" s="4" t="str">
        <f>HYPERLINK(CONCATENATE("https://livingatlas.arcgis.com/wayback/#ext=-82.81895987944051,30.772735495597672,-82.8169598794405,30.77073549559767"), "wayback")</f>
        <v>wayback</v>
      </c>
      <c r="J369" s="9" t="s">
        <v>25</v>
      </c>
      <c r="K369" s="9" t="s">
        <v>26</v>
      </c>
      <c r="L369" s="9" t="s">
        <v>15</v>
      </c>
      <c r="M369" s="9" t="s">
        <v>18</v>
      </c>
    </row>
    <row r="370" spans="1:13">
      <c r="A370" s="1" t="s">
        <v>13</v>
      </c>
      <c r="B370" s="1">
        <v>369</v>
      </c>
      <c r="C370" s="1">
        <v>2003</v>
      </c>
      <c r="D370" s="1">
        <v>2004</v>
      </c>
      <c r="E370" s="1">
        <v>45.252521610437988</v>
      </c>
      <c r="F370" s="1">
        <v>-90.657442288248888</v>
      </c>
      <c r="G370" s="4" t="str">
        <f>HYPERLINK(CONCATENATE("https://ee-faluhong.projects.earthengine.app/view/isp-ts-evaluation#id=369 2003-&gt;2004;lat=45.25252161043799;lon=-90.65744228824889;year=2003;bf=7;level=18;"), "landsat_time_series")</f>
        <v>landsat_time_series</v>
      </c>
      <c r="H370" s="4" t="str">
        <f>HYPERLINK(CONCATENATE("https://jstnbraaten.users.earthengine.app/view/landsat-timeseries-explorer#run=true;lon=-90.65744228824889;lat=45.25252161043799;from=01-01;to=12-31;index=NDVI;rgb=NIR%2FRED%2FGREEN;chipwidth=1;"), "landsat_chips")</f>
        <v>landsat_chips</v>
      </c>
      <c r="I370" s="4" t="str">
        <f>HYPERLINK(CONCATENATE("https://livingatlas.arcgis.com/wayback/#ext=-90.65844228824889,45.253521610437986,-90.65644228824888,45.25152161043799"), "wayback")</f>
        <v>wayback</v>
      </c>
      <c r="J370" s="9" t="s">
        <v>19</v>
      </c>
      <c r="L370" s="9" t="s">
        <v>15</v>
      </c>
      <c r="M370" s="9" t="s">
        <v>20</v>
      </c>
    </row>
    <row r="371" spans="1:13">
      <c r="A371" s="1" t="s">
        <v>13</v>
      </c>
      <c r="B371" s="1">
        <v>370</v>
      </c>
      <c r="C371" s="1">
        <v>2014</v>
      </c>
      <c r="D371" s="1">
        <v>2015</v>
      </c>
      <c r="E371" s="1">
        <v>42.036754375841973</v>
      </c>
      <c r="F371" s="1">
        <v>-103.78389874820481</v>
      </c>
      <c r="G371" s="4" t="str">
        <f>HYPERLINK(CONCATENATE("https://ee-faluhong.projects.earthengine.app/view/isp-ts-evaluation#id=370 2014-&gt;2015;lat=42.03675437584197;lon=-103.7838987482048;year=2014;bf=7;level=18;"), "landsat_time_series")</f>
        <v>landsat_time_series</v>
      </c>
      <c r="H371" s="4" t="str">
        <f>HYPERLINK(CONCATENATE("https://jstnbraaten.users.earthengine.app/view/landsat-timeseries-explorer#run=true;lon=-103.7838987482048;lat=42.03675437584197;from=01-01;to=12-31;index=NDVI;rgb=NIR%2FRED%2FGREEN;chipwidth=1;"), "landsat_chips")</f>
        <v>landsat_chips</v>
      </c>
      <c r="I371" s="4" t="str">
        <f>HYPERLINK(CONCATENATE("https://livingatlas.arcgis.com/wayback/#ext=-103.78489874820481,42.03775437584197,-103.7828987482048,42.035754375841975"), "wayback")</f>
        <v>wayback</v>
      </c>
      <c r="J371" s="9" t="s">
        <v>19</v>
      </c>
      <c r="L371" s="9" t="s">
        <v>15</v>
      </c>
      <c r="M371" s="9" t="s">
        <v>33</v>
      </c>
    </row>
    <row r="372" spans="1:13">
      <c r="A372" s="1" t="s">
        <v>13</v>
      </c>
      <c r="B372" s="1">
        <v>371</v>
      </c>
      <c r="C372" s="1">
        <v>2009</v>
      </c>
      <c r="D372" s="1">
        <v>2010</v>
      </c>
      <c r="E372" s="1">
        <v>29.33043664032823</v>
      </c>
      <c r="F372" s="1">
        <v>-98.719587622300651</v>
      </c>
      <c r="G372" s="4" t="str">
        <f>HYPERLINK(CONCATENATE("https://ee-faluhong.projects.earthengine.app/view/isp-ts-evaluation#id=371 2009-&gt;2010;lat=29.33043664032823;lon=-98.71958762230065;year=2009;bf=7;level=18;"), "landsat_time_series")</f>
        <v>landsat_time_series</v>
      </c>
      <c r="H372" s="4" t="str">
        <f>HYPERLINK(CONCATENATE("https://jstnbraaten.users.earthengine.app/view/landsat-timeseries-explorer#run=true;lon=-98.71958762230065;lat=29.33043664032823;from=01-01;to=12-31;index=NDVI;rgb=NIR%2FRED%2FGREEN;chipwidth=1;"), "landsat_chips")</f>
        <v>landsat_chips</v>
      </c>
      <c r="I372" s="4" t="str">
        <f>HYPERLINK(CONCATENATE("https://livingatlas.arcgis.com/wayback/#ext=-98.72058762230066,29.33143664032823,-98.71858762230065,29.32943664032823"), "wayback")</f>
        <v>wayback</v>
      </c>
      <c r="J372" s="9" t="s">
        <v>17</v>
      </c>
      <c r="L372" s="9" t="s">
        <v>24</v>
      </c>
      <c r="M372" s="9" t="s">
        <v>18</v>
      </c>
    </row>
    <row r="373" spans="1:13">
      <c r="A373" s="1" t="s">
        <v>13</v>
      </c>
      <c r="B373" s="1">
        <v>372</v>
      </c>
      <c r="C373" s="1">
        <v>2001</v>
      </c>
      <c r="D373" s="1">
        <v>2002</v>
      </c>
      <c r="E373" s="1">
        <v>29.652578191097451</v>
      </c>
      <c r="F373" s="1">
        <v>-95.279967997825338</v>
      </c>
      <c r="G373" s="4" t="str">
        <f>HYPERLINK(CONCATENATE("https://ee-faluhong.projects.earthengine.app/view/isp-ts-evaluation#id=372 2001-&gt;2002;lat=29.65257819109745;lon=-95.27996799782534;year=2001;bf=7;level=18;"), "landsat_time_series")</f>
        <v>landsat_time_series</v>
      </c>
      <c r="H373" s="4" t="str">
        <f>HYPERLINK(CONCATENATE("https://jstnbraaten.users.earthengine.app/view/landsat-timeseries-explorer#run=true;lon=-95.27996799782534;lat=29.65257819109745;from=01-01;to=12-31;index=NDVI;rgb=NIR%2FRED%2FGREEN;chipwidth=1;"), "landsat_chips")</f>
        <v>landsat_chips</v>
      </c>
      <c r="I373" s="4" t="str">
        <f>HYPERLINK(CONCATENATE("https://livingatlas.arcgis.com/wayback/#ext=-95.28096799782534,29.653578191097452,-95.27896799782533,29.65157819109745"), "wayback")</f>
        <v>wayback</v>
      </c>
      <c r="J373" s="9" t="s">
        <v>21</v>
      </c>
      <c r="L373" s="9" t="s">
        <v>15</v>
      </c>
      <c r="M373" s="9" t="s">
        <v>100</v>
      </c>
    </row>
    <row r="374" spans="1:13">
      <c r="A374" s="1" t="s">
        <v>13</v>
      </c>
      <c r="B374" s="1">
        <v>373</v>
      </c>
      <c r="C374" s="1">
        <v>2009</v>
      </c>
      <c r="D374" s="1">
        <v>2010</v>
      </c>
      <c r="E374" s="1">
        <v>34.264204800501787</v>
      </c>
      <c r="F374" s="1">
        <v>-95.321094091718422</v>
      </c>
      <c r="G374" s="4" t="str">
        <f>HYPERLINK(CONCATENATE("https://ee-faluhong.projects.earthengine.app/view/isp-ts-evaluation#id=373 2009-&gt;2010;lat=34.26420480050179;lon=-95.32109409171842;year=2009;bf=7;level=18;"), "landsat_time_series")</f>
        <v>landsat_time_series</v>
      </c>
      <c r="H374" s="4" t="str">
        <f>HYPERLINK(CONCATENATE("https://jstnbraaten.users.earthengine.app/view/landsat-timeseries-explorer#run=true;lon=-95.32109409171842;lat=34.26420480050179;from=01-01;to=12-31;index=NDVI;rgb=NIR%2FRED%2FGREEN;chipwidth=1;"), "landsat_chips")</f>
        <v>landsat_chips</v>
      </c>
      <c r="I374" s="4" t="str">
        <f>HYPERLINK(CONCATENATE("https://livingatlas.arcgis.com/wayback/#ext=-95.32209409171843,34.265204800501785,-95.32009409171842,34.26320480050179"), "wayback")</f>
        <v>wayback</v>
      </c>
      <c r="J374" s="9" t="s">
        <v>19</v>
      </c>
      <c r="L374" s="9" t="s">
        <v>15</v>
      </c>
      <c r="M374" s="9" t="s">
        <v>20</v>
      </c>
    </row>
    <row r="375" spans="1:13">
      <c r="A375" s="1" t="s">
        <v>13</v>
      </c>
      <c r="B375" s="1">
        <v>374</v>
      </c>
      <c r="C375" s="1">
        <v>2000</v>
      </c>
      <c r="D375" s="1">
        <v>2001</v>
      </c>
      <c r="E375" s="1">
        <v>26.734592596161079</v>
      </c>
      <c r="F375" s="1">
        <v>-81.175687107321721</v>
      </c>
      <c r="G375" s="4" t="str">
        <f>HYPERLINK(CONCATENATE("https://ee-faluhong.projects.earthengine.app/view/isp-ts-evaluation#id=374 2000-&gt;2001;lat=26.73459259616108;lon=-81.17568710732172;year=2000;bf=7;level=18;"), "landsat_time_series")</f>
        <v>landsat_time_series</v>
      </c>
      <c r="H375" s="4" t="str">
        <f>HYPERLINK(CONCATENATE("https://jstnbraaten.users.earthengine.app/view/landsat-timeseries-explorer#run=true;lon=-81.17568710732172;lat=26.73459259616108;from=01-01;to=12-31;index=NDVI;rgb=NIR%2FRED%2FGREEN;chipwidth=1;"), "landsat_chips")</f>
        <v>landsat_chips</v>
      </c>
      <c r="I375" s="4" t="str">
        <f>HYPERLINK(CONCATENATE("https://livingatlas.arcgis.com/wayback/#ext=-81.17668710732173,26.73559259616108,-81.17468710732172,26.733592596161078"), "wayback")</f>
        <v>wayback</v>
      </c>
      <c r="J375" s="9" t="s">
        <v>17</v>
      </c>
      <c r="L375" s="9" t="s">
        <v>24</v>
      </c>
      <c r="M375" s="9" t="s">
        <v>18</v>
      </c>
    </row>
    <row r="376" spans="1:13">
      <c r="A376" s="1" t="s">
        <v>13</v>
      </c>
      <c r="B376" s="1">
        <v>375</v>
      </c>
      <c r="C376" s="1">
        <v>2018</v>
      </c>
      <c r="D376" s="1">
        <v>2019</v>
      </c>
      <c r="E376" s="1">
        <v>31.00820570495744</v>
      </c>
      <c r="F376" s="1">
        <v>-85.132689611985995</v>
      </c>
      <c r="G376" s="4" t="str">
        <f>HYPERLINK(CONCATENATE("https://ee-faluhong.projects.earthengine.app/view/isp-ts-evaluation#id=375 2018-&gt;2019;lat=31.00820570495744;lon=-85.132689611986;year=2018;bf=7;level=18;"), "landsat_time_series")</f>
        <v>landsat_time_series</v>
      </c>
      <c r="H376" s="4" t="str">
        <f>HYPERLINK(CONCATENATE("https://jstnbraaten.users.earthengine.app/view/landsat-timeseries-explorer#run=true;lon=-85.132689611986;lat=31.00820570495744;from=01-01;to=12-31;index=NDVI;rgb=NIR%2FRED%2FGREEN;chipwidth=1;"), "landsat_chips")</f>
        <v>landsat_chips</v>
      </c>
      <c r="I376" s="4" t="str">
        <f>HYPERLINK(CONCATENATE("https://livingatlas.arcgis.com/wayback/#ext=-85.133689611986,31.00920570495744,-85.13168961198599,31.00720570495744"), "wayback")</f>
        <v>wayback</v>
      </c>
      <c r="J376" s="9" t="s">
        <v>17</v>
      </c>
      <c r="L376" s="9" t="s">
        <v>15</v>
      </c>
      <c r="M376" s="9" t="s">
        <v>18</v>
      </c>
    </row>
    <row r="377" spans="1:13">
      <c r="A377" s="1" t="s">
        <v>13</v>
      </c>
      <c r="B377" s="1">
        <v>376</v>
      </c>
      <c r="C377" s="1">
        <v>2007</v>
      </c>
      <c r="D377" s="1">
        <v>2008</v>
      </c>
      <c r="E377" s="1">
        <v>44.344862679820238</v>
      </c>
      <c r="F377" s="1">
        <v>-82.50864258603707</v>
      </c>
      <c r="G377" s="4" t="str">
        <f>HYPERLINK(CONCATENATE("https://ee-faluhong.projects.earthengine.app/view/isp-ts-evaluation#id=376 2007-&gt;2008;lat=44.34486267982024;lon=-82.50864258603707;year=2007;bf=7;level=18;"), "landsat_time_series")</f>
        <v>landsat_time_series</v>
      </c>
      <c r="H377" s="4" t="str">
        <f>HYPERLINK(CONCATENATE("https://jstnbraaten.users.earthengine.app/view/landsat-timeseries-explorer#run=true;lon=-82.50864258603707;lat=44.34486267982024;from=01-01;to=12-31;index=NDVI;rgb=NIR%2FRED%2FGREEN;chipwidth=1;"), "landsat_chips")</f>
        <v>landsat_chips</v>
      </c>
      <c r="I377" s="4" t="str">
        <f>HYPERLINK(CONCATENATE("https://livingatlas.arcgis.com/wayback/#ext=-82.50964258603707,44.345862679820236,-82.50764258603706,44.34386267982024"), "wayback")</f>
        <v>wayback</v>
      </c>
      <c r="J377" s="9" t="s">
        <v>19</v>
      </c>
      <c r="L377" s="9" t="s">
        <v>15</v>
      </c>
      <c r="M377" s="9" t="s">
        <v>41</v>
      </c>
    </row>
    <row r="378" spans="1:13">
      <c r="A378" s="1" t="s">
        <v>13</v>
      </c>
      <c r="B378" s="1">
        <v>377</v>
      </c>
      <c r="C378" s="1">
        <v>2000</v>
      </c>
      <c r="D378" s="1">
        <v>2001</v>
      </c>
      <c r="E378" s="1">
        <v>34.942760885089228</v>
      </c>
      <c r="F378" s="1">
        <v>-81.953478646451615</v>
      </c>
      <c r="G378" s="4" t="str">
        <f>HYPERLINK(CONCATENATE("https://ee-faluhong.projects.earthengine.app/view/isp-ts-evaluation#id=377 2000-&gt;2001;lat=34.94276088508923;lon=-81.95347864645161;year=2000;bf=7;level=18;"), "landsat_time_series")</f>
        <v>landsat_time_series</v>
      </c>
      <c r="H378" s="4" t="str">
        <f>HYPERLINK(CONCATENATE("https://jstnbraaten.users.earthengine.app/view/landsat-timeseries-explorer#run=true;lon=-81.95347864645161;lat=34.94276088508923;from=01-01;to=12-31;index=NDVI;rgb=NIR%2FRED%2FGREEN;chipwidth=1;"), "landsat_chips")</f>
        <v>landsat_chips</v>
      </c>
      <c r="I378" s="4" t="str">
        <f>HYPERLINK(CONCATENATE("https://livingatlas.arcgis.com/wayback/#ext=-81.95447864645162,34.943760885089226,-81.95247864645161,34.94176088508923"), "wayback")</f>
        <v>wayback</v>
      </c>
      <c r="J378" s="9" t="s">
        <v>25</v>
      </c>
      <c r="K378" s="9" t="s">
        <v>26</v>
      </c>
      <c r="L378" s="9" t="s">
        <v>15</v>
      </c>
      <c r="M378" s="9" t="s">
        <v>36</v>
      </c>
    </row>
    <row r="379" spans="1:13">
      <c r="A379" s="1" t="s">
        <v>13</v>
      </c>
      <c r="B379" s="1">
        <v>378</v>
      </c>
      <c r="C379" s="1">
        <v>2001</v>
      </c>
      <c r="D379" s="1">
        <v>2002</v>
      </c>
      <c r="E379" s="1">
        <v>40.416449993340009</v>
      </c>
      <c r="F379" s="1">
        <v>-96.665034344519995</v>
      </c>
      <c r="G379" s="4" t="str">
        <f>HYPERLINK(CONCATENATE("https://ee-faluhong.projects.earthengine.app/view/isp-ts-evaluation#id=378 2001-&gt;2002;lat=40.41644999334001;lon=-96.66503434452;year=2001;bf=7;level=18;"), "landsat_time_series")</f>
        <v>landsat_time_series</v>
      </c>
      <c r="H379" s="4" t="str">
        <f>HYPERLINK(CONCATENATE("https://jstnbraaten.users.earthengine.app/view/landsat-timeseries-explorer#run=true;lon=-96.66503434452;lat=40.41644999334001;from=01-01;to=12-31;index=NDVI;rgb=NIR%2FRED%2FGREEN;chipwidth=1;"), "landsat_chips")</f>
        <v>landsat_chips</v>
      </c>
      <c r="I379" s="4" t="str">
        <f>HYPERLINK(CONCATENATE("https://livingatlas.arcgis.com/wayback/#ext=-96.66603434452,40.41744999334001,-96.66403434451999,40.41544999334001"), "wayback")</f>
        <v>wayback</v>
      </c>
      <c r="J379" s="9" t="s">
        <v>19</v>
      </c>
      <c r="L379" s="9" t="s">
        <v>15</v>
      </c>
      <c r="M379" s="9" t="s">
        <v>99</v>
      </c>
    </row>
    <row r="380" spans="1:13">
      <c r="A380" s="1" t="s">
        <v>13</v>
      </c>
      <c r="B380" s="1">
        <v>379</v>
      </c>
      <c r="C380" s="1">
        <v>2016</v>
      </c>
      <c r="D380" s="1">
        <v>2017</v>
      </c>
      <c r="E380" s="1">
        <v>35.141353485626517</v>
      </c>
      <c r="F380" s="1">
        <v>-91.886408193901602</v>
      </c>
      <c r="G380" s="4" t="str">
        <f>HYPERLINK(CONCATENATE("https://ee-faluhong.projects.earthengine.app/view/isp-ts-evaluation#id=379 2016-&gt;2017;lat=35.14135348562652;lon=-91.8864081939016;year=2016;bf=7;level=18;"), "landsat_time_series")</f>
        <v>landsat_time_series</v>
      </c>
      <c r="H380" s="4" t="str">
        <f>HYPERLINK(CONCATENATE("https://jstnbraaten.users.earthengine.app/view/landsat-timeseries-explorer#run=true;lon=-91.8864081939016;lat=35.14135348562652;from=01-01;to=12-31;index=NDVI;rgb=NIR%2FRED%2FGREEN;chipwidth=1;"), "landsat_chips")</f>
        <v>landsat_chips</v>
      </c>
      <c r="I380" s="4" t="str">
        <f>HYPERLINK(CONCATENATE("https://livingatlas.arcgis.com/wayback/#ext=-91.8874081939016,35.142353485626515,-91.8854081939016,35.14035348562652"), "wayback")</f>
        <v>wayback</v>
      </c>
      <c r="J380" s="9" t="s">
        <v>19</v>
      </c>
      <c r="L380" s="9" t="s">
        <v>15</v>
      </c>
      <c r="M380" s="9" t="s">
        <v>33</v>
      </c>
    </row>
    <row r="381" spans="1:13">
      <c r="A381" s="1" t="s">
        <v>13</v>
      </c>
      <c r="B381" s="1">
        <v>380</v>
      </c>
      <c r="C381" s="1">
        <v>2008</v>
      </c>
      <c r="D381" s="1">
        <v>2009</v>
      </c>
      <c r="E381" s="1">
        <v>38.005110845175217</v>
      </c>
      <c r="F381" s="1">
        <v>-122.11618811522909</v>
      </c>
      <c r="G381" s="4" t="str">
        <f>HYPERLINK(CONCATENATE("https://ee-faluhong.projects.earthengine.app/view/isp-ts-evaluation#id=380 2008-&gt;2009;lat=38.00511084517522;lon=-122.1161881152291;year=2008;bf=7;level=18;"), "landsat_time_series")</f>
        <v>landsat_time_series</v>
      </c>
      <c r="H381" s="4" t="str">
        <f>HYPERLINK(CONCATENATE("https://jstnbraaten.users.earthengine.app/view/landsat-timeseries-explorer#run=true;lon=-122.1161881152291;lat=38.00511084517522;from=01-01;to=12-31;index=NDVI;rgb=NIR%2FRED%2FGREEN;chipwidth=1;"), "landsat_chips")</f>
        <v>landsat_chips</v>
      </c>
      <c r="I381" s="4" t="str">
        <f>HYPERLINK(CONCATENATE("https://livingatlas.arcgis.com/wayback/#ext=-122.1171881152291,38.006110845175215,-122.11518811522909,38.00411084517522"), "wayback")</f>
        <v>wayback</v>
      </c>
      <c r="J381" s="9" t="s">
        <v>17</v>
      </c>
      <c r="L381" s="9" t="s">
        <v>15</v>
      </c>
      <c r="M381" s="9" t="s">
        <v>36</v>
      </c>
    </row>
    <row r="382" spans="1:13">
      <c r="A382" s="1" t="s">
        <v>13</v>
      </c>
      <c r="B382" s="1">
        <v>381</v>
      </c>
      <c r="C382" s="1">
        <v>2004</v>
      </c>
      <c r="D382" s="1">
        <v>2005</v>
      </c>
      <c r="E382" s="1">
        <v>34.179292679901053</v>
      </c>
      <c r="F382" s="1">
        <v>-118.9833624939336</v>
      </c>
      <c r="G382" s="4" t="str">
        <f>HYPERLINK(CONCATENATE("https://ee-faluhong.projects.earthengine.app/view/isp-ts-evaluation#id=381 2004-&gt;2005;lat=34.17929267990105;lon=-118.9833624939336;year=2004;bf=7;level=18;"), "landsat_time_series")</f>
        <v>landsat_time_series</v>
      </c>
      <c r="H382" s="4" t="str">
        <f>HYPERLINK(CONCATENATE("https://jstnbraaten.users.earthengine.app/view/landsat-timeseries-explorer#run=true;lon=-118.9833624939336;lat=34.17929267990105;from=01-01;to=12-31;index=NDVI;rgb=NIR%2FRED%2FGREEN;chipwidth=1;"), "landsat_chips")</f>
        <v>landsat_chips</v>
      </c>
      <c r="I382" s="4" t="str">
        <f>HYPERLINK(CONCATENATE("https://livingatlas.arcgis.com/wayback/#ext=-118.9843624939336,34.18029267990105,-118.98236249393359,34.178292679901055"), "wayback")</f>
        <v>wayback</v>
      </c>
      <c r="J382" s="9" t="s">
        <v>17</v>
      </c>
      <c r="L382" s="9" t="s">
        <v>15</v>
      </c>
      <c r="M382" s="9" t="s">
        <v>36</v>
      </c>
    </row>
    <row r="383" spans="1:13">
      <c r="A383" s="1" t="s">
        <v>13</v>
      </c>
      <c r="B383" s="1">
        <v>382</v>
      </c>
      <c r="C383" s="1">
        <v>2010</v>
      </c>
      <c r="D383" s="1">
        <v>2011</v>
      </c>
      <c r="E383" s="1">
        <v>32.987515611996841</v>
      </c>
      <c r="F383" s="1">
        <v>-88.76202718898486</v>
      </c>
      <c r="G383" s="4" t="str">
        <f>HYPERLINK(CONCATENATE("https://ee-faluhong.projects.earthengine.app/view/isp-ts-evaluation#id=382 2010-&gt;2011;lat=32.98751561199684;lon=-88.76202718898486;year=2010;bf=7;level=18;"), "landsat_time_series")</f>
        <v>landsat_time_series</v>
      </c>
      <c r="H383" s="4" t="str">
        <f>HYPERLINK(CONCATENATE("https://jstnbraaten.users.earthengine.app/view/landsat-timeseries-explorer#run=true;lon=-88.76202718898486;lat=32.98751561199684;from=01-01;to=12-31;index=NDVI;rgb=NIR%2FRED%2FGREEN;chipwidth=1;"), "landsat_chips")</f>
        <v>landsat_chips</v>
      </c>
      <c r="I383" s="4" t="str">
        <f>HYPERLINK(CONCATENATE("https://livingatlas.arcgis.com/wayback/#ext=-88.76302718898486,32.98851561199684,-88.76102718898485,32.98651561199684"), "wayback")</f>
        <v>wayback</v>
      </c>
      <c r="J383" s="9" t="s">
        <v>25</v>
      </c>
      <c r="K383" s="9" t="s">
        <v>26</v>
      </c>
      <c r="L383" s="9" t="s">
        <v>15</v>
      </c>
    </row>
    <row r="384" spans="1:13">
      <c r="A384" s="1" t="s">
        <v>13</v>
      </c>
      <c r="B384" s="1">
        <v>383</v>
      </c>
      <c r="C384" s="1">
        <v>2003</v>
      </c>
      <c r="D384" s="1">
        <v>2004</v>
      </c>
      <c r="E384" s="1">
        <v>32.321309133381931</v>
      </c>
      <c r="F384" s="1">
        <v>-87.207722164136953</v>
      </c>
      <c r="G384" s="4" t="str">
        <f>HYPERLINK(CONCATENATE("https://ee-faluhong.projects.earthengine.app/view/isp-ts-evaluation#id=383 2003-&gt;2004;lat=32.32130913338193;lon=-87.20772216413695;year=2003;bf=7;level=18;"), "landsat_time_series")</f>
        <v>landsat_time_series</v>
      </c>
      <c r="H384" s="4" t="str">
        <f>HYPERLINK(CONCATENATE("https://jstnbraaten.users.earthengine.app/view/landsat-timeseries-explorer#run=true;lon=-87.20772216413695;lat=32.32130913338193;from=01-01;to=12-31;index=NDVI;rgb=NIR%2FRED%2FGREEN;chipwidth=1;"), "landsat_chips")</f>
        <v>landsat_chips</v>
      </c>
      <c r="I384" s="4" t="str">
        <f>HYPERLINK(CONCATENATE("https://livingatlas.arcgis.com/wayback/#ext=-87.20872216413696,32.32230913338193,-87.20672216413695,32.32030913338193"), "wayback")</f>
        <v>wayback</v>
      </c>
      <c r="J384" s="9" t="s">
        <v>19</v>
      </c>
      <c r="L384" s="9" t="s">
        <v>15</v>
      </c>
      <c r="M384" s="9" t="s">
        <v>84</v>
      </c>
    </row>
    <row r="385" spans="1:13">
      <c r="A385" s="1" t="s">
        <v>13</v>
      </c>
      <c r="B385" s="1">
        <v>384</v>
      </c>
      <c r="C385" s="1">
        <v>2005</v>
      </c>
      <c r="D385" s="1">
        <v>2006</v>
      </c>
      <c r="E385" s="1">
        <v>33.229610714360128</v>
      </c>
      <c r="F385" s="1">
        <v>-87.599698352463747</v>
      </c>
      <c r="G385" s="4" t="str">
        <f>HYPERLINK(CONCATENATE("https://ee-faluhong.projects.earthengine.app/view/isp-ts-evaluation#id=384 2005-&gt;2006;lat=33.22961071436013;lon=-87.59969835246375;year=2005;bf=7;level=18;"), "landsat_time_series")</f>
        <v>landsat_time_series</v>
      </c>
      <c r="H385" s="4" t="str">
        <f>HYPERLINK(CONCATENATE("https://jstnbraaten.users.earthengine.app/view/landsat-timeseries-explorer#run=true;lon=-87.59969835246375;lat=33.22961071436013;from=01-01;to=12-31;index=NDVI;rgb=NIR%2FRED%2FGREEN;chipwidth=1;"), "landsat_chips")</f>
        <v>landsat_chips</v>
      </c>
      <c r="I385" s="4" t="str">
        <f>HYPERLINK(CONCATENATE("https://livingatlas.arcgis.com/wayback/#ext=-87.60069835246375,33.230610714360125,-87.59869835246374,33.22861071436013"), "wayback")</f>
        <v>wayback</v>
      </c>
      <c r="J385" s="9" t="s">
        <v>34</v>
      </c>
      <c r="M385" s="9" t="s">
        <v>101</v>
      </c>
    </row>
    <row r="386" spans="1:13">
      <c r="A386" s="1" t="s">
        <v>13</v>
      </c>
      <c r="B386" s="1">
        <v>385</v>
      </c>
      <c r="C386" s="1">
        <v>2009</v>
      </c>
      <c r="D386" s="1">
        <v>2010</v>
      </c>
      <c r="E386" s="1">
        <v>37.56506134467331</v>
      </c>
      <c r="F386" s="1">
        <v>-79.296117525567126</v>
      </c>
      <c r="G386" s="4" t="str">
        <f>HYPERLINK(CONCATENATE("https://ee-faluhong.projects.earthengine.app/view/isp-ts-evaluation#id=385 2009-&gt;2010;lat=37.56506134467331;lon=-79.29611752556713;year=2009;bf=7;level=18;"), "landsat_time_series")</f>
        <v>landsat_time_series</v>
      </c>
      <c r="H386" s="4" t="str">
        <f>HYPERLINK(CONCATENATE("https://jstnbraaten.users.earthengine.app/view/landsat-timeseries-explorer#run=true;lon=-79.29611752556713;lat=37.56506134467331;from=01-01;to=12-31;index=NDVI;rgb=NIR%2FRED%2FGREEN;chipwidth=1;"), "landsat_chips")</f>
        <v>landsat_chips</v>
      </c>
      <c r="I386" s="4" t="str">
        <f>HYPERLINK(CONCATENATE("https://livingatlas.arcgis.com/wayback/#ext=-79.29711752556713,37.56606134467331,-79.29511752556712,37.56406134467331"), "wayback")</f>
        <v>wayback</v>
      </c>
      <c r="J386" s="9" t="s">
        <v>19</v>
      </c>
      <c r="L386" s="9" t="s">
        <v>15</v>
      </c>
      <c r="M386" s="9" t="s">
        <v>20</v>
      </c>
    </row>
    <row r="387" spans="1:13">
      <c r="A387" s="1" t="s">
        <v>13</v>
      </c>
      <c r="B387" s="1">
        <v>386</v>
      </c>
      <c r="C387" s="1">
        <v>2011</v>
      </c>
      <c r="D387" s="1">
        <v>2012</v>
      </c>
      <c r="E387" s="1">
        <v>27.12111122642693</v>
      </c>
      <c r="F387" s="1">
        <v>-81.912635283196337</v>
      </c>
      <c r="G387" s="4" t="str">
        <f>HYPERLINK(CONCATENATE("https://ee-faluhong.projects.earthengine.app/view/isp-ts-evaluation#id=386 2011-&gt;2012;lat=27.12111122642693;lon=-81.91263528319634;year=2011;bf=7;level=18;"), "landsat_time_series")</f>
        <v>landsat_time_series</v>
      </c>
      <c r="H387" s="4" t="str">
        <f>HYPERLINK(CONCATENATE("https://jstnbraaten.users.earthengine.app/view/landsat-timeseries-explorer#run=true;lon=-81.91263528319634;lat=27.12111122642693;from=01-01;to=12-31;index=NDVI;rgb=NIR%2FRED%2FGREEN;chipwidth=1;"), "landsat_chips")</f>
        <v>landsat_chips</v>
      </c>
      <c r="I387" s="4" t="str">
        <f>HYPERLINK(CONCATENATE("https://livingatlas.arcgis.com/wayback/#ext=-81.91363528319634,27.12211122642693,-81.91163528319633,27.12011122642693"), "wayback")</f>
        <v>wayback</v>
      </c>
      <c r="J387" s="9" t="s">
        <v>19</v>
      </c>
      <c r="L387" s="9" t="s">
        <v>15</v>
      </c>
      <c r="M387" s="9" t="s">
        <v>99</v>
      </c>
    </row>
    <row r="388" spans="1:13">
      <c r="A388" s="1" t="s">
        <v>13</v>
      </c>
      <c r="B388" s="1">
        <v>387</v>
      </c>
      <c r="C388" s="1">
        <v>2004</v>
      </c>
      <c r="D388" s="1">
        <v>2005</v>
      </c>
      <c r="E388" s="1">
        <v>48.890051714460441</v>
      </c>
      <c r="F388" s="1">
        <v>-115.6910854368186</v>
      </c>
      <c r="G388" s="4" t="str">
        <f>HYPERLINK(CONCATENATE("https://ee-faluhong.projects.earthengine.app/view/isp-ts-evaluation#id=387 2004-&gt;2005;lat=48.89005171446044;lon=-115.6910854368186;year=2004;bf=7;level=18;"), "landsat_time_series")</f>
        <v>landsat_time_series</v>
      </c>
      <c r="H388" s="4" t="str">
        <f>HYPERLINK(CONCATENATE("https://jstnbraaten.users.earthengine.app/view/landsat-timeseries-explorer#run=true;lon=-115.6910854368186;lat=48.89005171446044;from=01-01;to=12-31;index=NDVI;rgb=NIR%2FRED%2FGREEN;chipwidth=1;"), "landsat_chips")</f>
        <v>landsat_chips</v>
      </c>
      <c r="I388" s="4" t="str">
        <f>HYPERLINK(CONCATENATE("https://livingatlas.arcgis.com/wayback/#ext=-115.6920854368186,48.89105171446044,-115.69008543681859,48.88905171446044"), "wayback")</f>
        <v>wayback</v>
      </c>
      <c r="J388" s="9" t="s">
        <v>19</v>
      </c>
      <c r="L388" s="9" t="s">
        <v>15</v>
      </c>
      <c r="M388" s="9" t="s">
        <v>20</v>
      </c>
    </row>
    <row r="389" spans="1:13">
      <c r="A389" s="1" t="s">
        <v>13</v>
      </c>
      <c r="B389" s="1">
        <v>388</v>
      </c>
      <c r="C389" s="1">
        <v>2011</v>
      </c>
      <c r="D389" s="1">
        <v>2012</v>
      </c>
      <c r="E389" s="1">
        <v>41.694899445716921</v>
      </c>
      <c r="F389" s="1">
        <v>-83.541048386712205</v>
      </c>
      <c r="G389" s="4" t="str">
        <f>HYPERLINK(CONCATENATE("https://ee-faluhong.projects.earthengine.app/view/isp-ts-evaluation#id=388 2011-&gt;2012;lat=41.69489944571692;lon=-83.5410483867122;year=2011;bf=7;level=18;"), "landsat_time_series")</f>
        <v>landsat_time_series</v>
      </c>
      <c r="H389" s="4" t="str">
        <f>HYPERLINK(CONCATENATE("https://jstnbraaten.users.earthengine.app/view/landsat-timeseries-explorer#run=true;lon=-83.5410483867122;lat=41.69489944571692;from=01-01;to=12-31;index=NDVI;rgb=NIR%2FRED%2FGREEN;chipwidth=1;"), "landsat_chips")</f>
        <v>landsat_chips</v>
      </c>
      <c r="I389" s="4" t="str">
        <f>HYPERLINK(CONCATENATE("https://livingatlas.arcgis.com/wayback/#ext=-83.54204838671221,41.69589944571692,-83.5400483867122,41.69389944571692"), "wayback")</f>
        <v>wayback</v>
      </c>
      <c r="J389" s="9" t="s">
        <v>21</v>
      </c>
      <c r="L389" s="9" t="s">
        <v>15</v>
      </c>
      <c r="M389" s="9" t="s">
        <v>102</v>
      </c>
    </row>
    <row r="390" spans="1:13">
      <c r="A390" s="1" t="s">
        <v>13</v>
      </c>
      <c r="B390" s="1">
        <v>389</v>
      </c>
      <c r="C390" s="1">
        <v>2015</v>
      </c>
      <c r="D390" s="1">
        <v>2016</v>
      </c>
      <c r="E390" s="1">
        <v>27.63259475449485</v>
      </c>
      <c r="F390" s="1">
        <v>-82.534479082969312</v>
      </c>
      <c r="G390" s="4" t="str">
        <f>HYPERLINK(CONCATENATE("https://ee-faluhong.projects.earthengine.app/view/isp-ts-evaluation#id=389 2015-&gt;2016;lat=27.63259475449485;lon=-82.53447908296931;year=2015;bf=7;level=18;"), "landsat_time_series")</f>
        <v>landsat_time_series</v>
      </c>
      <c r="H390" s="4" t="str">
        <f>HYPERLINK(CONCATENATE("https://jstnbraaten.users.earthengine.app/view/landsat-timeseries-explorer#run=true;lon=-82.53447908296931;lat=27.63259475449485;from=01-01;to=12-31;index=NDVI;rgb=NIR%2FRED%2FGREEN;chipwidth=1;"), "landsat_chips")</f>
        <v>landsat_chips</v>
      </c>
      <c r="I390" s="4" t="str">
        <f>HYPERLINK(CONCATENATE("https://livingatlas.arcgis.com/wayback/#ext=-82.53547908296932,27.63359475449485,-82.53347908296931,27.63159475449485"), "wayback")</f>
        <v>wayback</v>
      </c>
      <c r="J390" s="9" t="s">
        <v>17</v>
      </c>
      <c r="L390" s="9" t="s">
        <v>15</v>
      </c>
      <c r="M390" s="9" t="s">
        <v>18</v>
      </c>
    </row>
    <row r="391" spans="1:13">
      <c r="A391" s="1" t="s">
        <v>13</v>
      </c>
      <c r="B391" s="1">
        <v>390</v>
      </c>
      <c r="C391" s="1">
        <v>2004</v>
      </c>
      <c r="D391" s="1">
        <v>2005</v>
      </c>
      <c r="E391" s="1">
        <v>30.34876975015116</v>
      </c>
      <c r="F391" s="1">
        <v>-93.161974309111159</v>
      </c>
      <c r="G391" s="4" t="str">
        <f>HYPERLINK(CONCATENATE("https://ee-faluhong.projects.earthengine.app/view/isp-ts-evaluation#id=390 2004-&gt;2005;lat=30.34876975015116;lon=-93.16197430911116;year=2004;bf=7;level=18;"), "landsat_time_series")</f>
        <v>landsat_time_series</v>
      </c>
      <c r="H391" s="4" t="str">
        <f>HYPERLINK(CONCATENATE("https://jstnbraaten.users.earthengine.app/view/landsat-timeseries-explorer#run=true;lon=-93.16197430911116;lat=30.34876975015116;from=01-01;to=12-31;index=NDVI;rgb=NIR%2FRED%2FGREEN;chipwidth=1;"), "landsat_chips")</f>
        <v>landsat_chips</v>
      </c>
      <c r="I391" s="4" t="str">
        <f>HYPERLINK(CONCATENATE("https://livingatlas.arcgis.com/wayback/#ext=-93.16297430911116,30.34976975015116,-93.16097430911115,30.34776975015116"), "wayback")</f>
        <v>wayback</v>
      </c>
      <c r="J391" s="9" t="s">
        <v>17</v>
      </c>
      <c r="L391" s="9" t="s">
        <v>15</v>
      </c>
      <c r="M391" s="9" t="s">
        <v>36</v>
      </c>
    </row>
    <row r="392" spans="1:13">
      <c r="A392" s="1" t="s">
        <v>13</v>
      </c>
      <c r="B392" s="1">
        <v>391</v>
      </c>
      <c r="C392" s="1">
        <v>2002</v>
      </c>
      <c r="D392" s="1">
        <v>2003</v>
      </c>
      <c r="E392" s="1">
        <v>27.834956484717111</v>
      </c>
      <c r="F392" s="1">
        <v>-97.499086306002454</v>
      </c>
      <c r="G392" s="4" t="str">
        <f>HYPERLINK(CONCATENATE("https://ee-faluhong.projects.earthengine.app/view/isp-ts-evaluation#id=391 2002-&gt;2003;lat=27.83495648471711;lon=-97.49908630600245;year=2002;bf=7;level=18;"), "landsat_time_series")</f>
        <v>landsat_time_series</v>
      </c>
      <c r="H392" s="4" t="str">
        <f>HYPERLINK(CONCATENATE("https://jstnbraaten.users.earthengine.app/view/landsat-timeseries-explorer#run=true;lon=-97.49908630600245;lat=27.83495648471711;from=01-01;to=12-31;index=NDVI;rgb=NIR%2FRED%2FGREEN;chipwidth=1;"), "landsat_chips")</f>
        <v>landsat_chips</v>
      </c>
      <c r="I392" s="4" t="str">
        <f>HYPERLINK(CONCATENATE("https://livingatlas.arcgis.com/wayback/#ext=-97.50008630600246,27.835956484717112,-97.49808630600245,27.83395648471711"), "wayback")</f>
        <v>wayback</v>
      </c>
      <c r="J392" s="9" t="s">
        <v>19</v>
      </c>
      <c r="L392" s="9" t="s">
        <v>15</v>
      </c>
      <c r="M392" s="9" t="s">
        <v>103</v>
      </c>
    </row>
    <row r="393" spans="1:13">
      <c r="A393" s="1" t="s">
        <v>13</v>
      </c>
      <c r="B393" s="1">
        <v>392</v>
      </c>
      <c r="C393" s="1">
        <v>2017</v>
      </c>
      <c r="D393" s="1">
        <v>2018</v>
      </c>
      <c r="E393" s="1">
        <v>31.411092735589659</v>
      </c>
      <c r="F393" s="1">
        <v>-95.688701933832292</v>
      </c>
      <c r="G393" s="4" t="str">
        <f>HYPERLINK(CONCATENATE("https://ee-faluhong.projects.earthengine.app/view/isp-ts-evaluation#id=392 2017-&gt;2018;lat=31.41109273558966;lon=-95.68870193383229;year=2017;bf=7;level=18;"), "landsat_time_series")</f>
        <v>landsat_time_series</v>
      </c>
      <c r="H393" s="4" t="str">
        <f>HYPERLINK(CONCATENATE("https://jstnbraaten.users.earthengine.app/view/landsat-timeseries-explorer#run=true;lon=-95.68870193383229;lat=31.41109273558966;from=01-01;to=12-31;index=NDVI;rgb=NIR%2FRED%2FGREEN;chipwidth=1;"), "landsat_chips")</f>
        <v>landsat_chips</v>
      </c>
      <c r="I393" s="4" t="str">
        <f>HYPERLINK(CONCATENATE("https://livingatlas.arcgis.com/wayback/#ext=-95.6897019338323,31.41209273558966,-95.68770193383229,31.410092735589657"), "wayback")</f>
        <v>wayback</v>
      </c>
      <c r="J393" s="9" t="s">
        <v>19</v>
      </c>
      <c r="L393" s="9" t="s">
        <v>15</v>
      </c>
      <c r="M393" s="9" t="s">
        <v>99</v>
      </c>
    </row>
    <row r="394" spans="1:13">
      <c r="A394" s="1" t="s">
        <v>13</v>
      </c>
      <c r="B394" s="1">
        <v>393</v>
      </c>
      <c r="C394" s="1">
        <v>2005</v>
      </c>
      <c r="D394" s="1">
        <v>2006</v>
      </c>
      <c r="E394" s="1">
        <v>39.098214445901853</v>
      </c>
      <c r="F394" s="1">
        <v>-112.3216227435251</v>
      </c>
      <c r="G394" s="4" t="str">
        <f>HYPERLINK(CONCATENATE("https://ee-faluhong.projects.earthengine.app/view/isp-ts-evaluation#id=393 2005-&gt;2006;lat=39.09821444590185;lon=-112.3216227435251;year=2005;bf=7;level=18;"), "landsat_time_series")</f>
        <v>landsat_time_series</v>
      </c>
      <c r="H394" s="4" t="str">
        <f>HYPERLINK(CONCATENATE("https://jstnbraaten.users.earthengine.app/view/landsat-timeseries-explorer#run=true;lon=-112.3216227435251;lat=39.09821444590185;from=01-01;to=12-31;index=NDVI;rgb=NIR%2FRED%2FGREEN;chipwidth=1;"), "landsat_chips")</f>
        <v>landsat_chips</v>
      </c>
      <c r="I394" s="4" t="str">
        <f>HYPERLINK(CONCATENATE("https://livingatlas.arcgis.com/wayback/#ext=-112.3226227435251,39.09921444590185,-112.32062274352509,39.097214445901855"), "wayback")</f>
        <v>wayback</v>
      </c>
      <c r="J394" s="9" t="s">
        <v>19</v>
      </c>
      <c r="L394" s="9" t="s">
        <v>15</v>
      </c>
      <c r="M394" s="9" t="s">
        <v>99</v>
      </c>
    </row>
    <row r="395" spans="1:13">
      <c r="A395" s="1" t="s">
        <v>13</v>
      </c>
      <c r="B395" s="1">
        <v>394</v>
      </c>
      <c r="C395" s="1">
        <v>2018</v>
      </c>
      <c r="D395" s="1">
        <v>2019</v>
      </c>
      <c r="E395" s="1">
        <v>34.55848645435708</v>
      </c>
      <c r="F395" s="1">
        <v>-78.692107081657497</v>
      </c>
      <c r="G395" s="4" t="str">
        <f>HYPERLINK(CONCATENATE("https://ee-faluhong.projects.earthengine.app/view/isp-ts-evaluation#id=394 2018-&gt;2019;lat=34.55848645435708;lon=-78.6921070816575;year=2018;bf=7;level=18;"), "landsat_time_series")</f>
        <v>landsat_time_series</v>
      </c>
      <c r="H395" s="4" t="str">
        <f>HYPERLINK(CONCATENATE("https://jstnbraaten.users.earthengine.app/view/landsat-timeseries-explorer#run=true;lon=-78.6921070816575;lat=34.55848645435708;from=01-01;to=12-31;index=NDVI;rgb=NIR%2FRED%2FGREEN;chipwidth=1;"), "landsat_chips")</f>
        <v>landsat_chips</v>
      </c>
      <c r="I395" s="4" t="str">
        <f>HYPERLINK(CONCATENATE("https://livingatlas.arcgis.com/wayback/#ext=-78.6931070816575,34.55948645435708,-78.69110708165749,34.55748645435708"), "wayback")</f>
        <v>wayback</v>
      </c>
      <c r="J395" s="9" t="s">
        <v>21</v>
      </c>
      <c r="L395" s="9" t="s">
        <v>24</v>
      </c>
      <c r="M395" s="9" t="s">
        <v>104</v>
      </c>
    </row>
    <row r="396" spans="1:13">
      <c r="A396" s="1" t="s">
        <v>13</v>
      </c>
      <c r="B396" s="1">
        <v>395</v>
      </c>
      <c r="C396" s="1">
        <v>2019</v>
      </c>
      <c r="D396" s="1">
        <v>2020</v>
      </c>
      <c r="E396" s="1">
        <v>40.561381116142833</v>
      </c>
      <c r="F396" s="1">
        <v>-79.76141981341749</v>
      </c>
      <c r="G396" s="4" t="str">
        <f>HYPERLINK(CONCATENATE("https://ee-faluhong.projects.earthengine.app/view/isp-ts-evaluation#id=395 2019-&gt;2020;lat=40.56138111614283;lon=-79.76141981341749;year=2019;bf=7;level=18;"), "landsat_time_series")</f>
        <v>landsat_time_series</v>
      </c>
      <c r="H396" s="4" t="str">
        <f>HYPERLINK(CONCATENATE("https://jstnbraaten.users.earthengine.app/view/landsat-timeseries-explorer#run=true;lon=-79.76141981341749;lat=40.56138111614283;from=01-01;to=12-31;index=NDVI;rgb=NIR%2FRED%2FGREEN;chipwidth=1;"), "landsat_chips")</f>
        <v>landsat_chips</v>
      </c>
      <c r="I396" s="4" t="str">
        <f>HYPERLINK(CONCATENATE("https://livingatlas.arcgis.com/wayback/#ext=-79.7624198134175,40.56238111614283,-79.76041981341749,40.560381116142835"), "wayback")</f>
        <v>wayback</v>
      </c>
      <c r="J396" s="9" t="s">
        <v>25</v>
      </c>
      <c r="K396" s="9" t="s">
        <v>40</v>
      </c>
      <c r="L396" s="9" t="s">
        <v>15</v>
      </c>
      <c r="M396" s="9" t="s">
        <v>36</v>
      </c>
    </row>
    <row r="397" spans="1:13">
      <c r="A397" s="1" t="s">
        <v>13</v>
      </c>
      <c r="B397" s="1">
        <v>396</v>
      </c>
      <c r="C397" s="1">
        <v>2017</v>
      </c>
      <c r="D397" s="1">
        <v>2018</v>
      </c>
      <c r="E397" s="1">
        <v>33.465187045607372</v>
      </c>
      <c r="F397" s="1">
        <v>-81.222997367621829</v>
      </c>
      <c r="G397" s="4" t="str">
        <f>HYPERLINK(CONCATENATE("https://ee-faluhong.projects.earthengine.app/view/isp-ts-evaluation#id=396 2017-&gt;2018;lat=33.46518704560737;lon=-81.22299736762183;year=2017;bf=7;level=18;"), "landsat_time_series")</f>
        <v>landsat_time_series</v>
      </c>
      <c r="H397" s="4" t="str">
        <f>HYPERLINK(CONCATENATE("https://jstnbraaten.users.earthengine.app/view/landsat-timeseries-explorer#run=true;lon=-81.22299736762183;lat=33.46518704560737;from=01-01;to=12-31;index=NDVI;rgb=NIR%2FRED%2FGREEN;chipwidth=1;"), "landsat_chips")</f>
        <v>landsat_chips</v>
      </c>
      <c r="I397" s="4" t="str">
        <f>HYPERLINK(CONCATENATE("https://livingatlas.arcgis.com/wayback/#ext=-81.22399736762183,33.46618704560737,-81.22199736762182,33.464187045607375"), "wayback")</f>
        <v>wayback</v>
      </c>
      <c r="J397" s="9" t="s">
        <v>19</v>
      </c>
      <c r="L397" s="9" t="s">
        <v>15</v>
      </c>
      <c r="M397" s="9" t="s">
        <v>99</v>
      </c>
    </row>
    <row r="398" spans="1:13">
      <c r="A398" s="1" t="s">
        <v>13</v>
      </c>
      <c r="B398" s="1">
        <v>397</v>
      </c>
      <c r="C398" s="1">
        <v>2002</v>
      </c>
      <c r="D398" s="1">
        <v>2003</v>
      </c>
      <c r="E398" s="1">
        <v>44.862522271934182</v>
      </c>
      <c r="F398" s="1">
        <v>-93.284945692049959</v>
      </c>
      <c r="G398" s="4" t="str">
        <f>HYPERLINK(CONCATENATE("https://ee-faluhong.projects.earthengine.app/view/isp-ts-evaluation#id=397 2002-&gt;2003;lat=44.86252227193418;lon=-93.28494569204996;year=2002;bf=7;level=18;"), "landsat_time_series")</f>
        <v>landsat_time_series</v>
      </c>
      <c r="H398" s="4" t="str">
        <f>HYPERLINK(CONCATENATE("https://jstnbraaten.users.earthengine.app/view/landsat-timeseries-explorer#run=true;lon=-93.28494569204996;lat=44.86252227193418;from=01-01;to=12-31;index=NDVI;rgb=NIR%2FRED%2FGREEN;chipwidth=1;"), "landsat_chips")</f>
        <v>landsat_chips</v>
      </c>
      <c r="I398" s="4" t="str">
        <f>HYPERLINK(CONCATENATE("https://livingatlas.arcgis.com/wayback/#ext=-93.28594569204996,44.86352227193418,-93.28394569204995,44.861522271934184"), "wayback")</f>
        <v>wayback</v>
      </c>
      <c r="J398" s="9" t="s">
        <v>25</v>
      </c>
      <c r="K398" s="9" t="s">
        <v>26</v>
      </c>
      <c r="L398" s="9" t="s">
        <v>15</v>
      </c>
      <c r="M398" s="9" t="s">
        <v>90</v>
      </c>
    </row>
    <row r="399" spans="1:13">
      <c r="A399" s="1" t="s">
        <v>13</v>
      </c>
      <c r="B399" s="1">
        <v>398</v>
      </c>
      <c r="C399" s="1">
        <v>2018</v>
      </c>
      <c r="D399" s="1">
        <v>2019</v>
      </c>
      <c r="E399" s="1">
        <v>47.1924702166354</v>
      </c>
      <c r="F399" s="1">
        <v>-122.41005281256361</v>
      </c>
      <c r="G399" s="4" t="str">
        <f>HYPERLINK(CONCATENATE("https://ee-faluhong.projects.earthengine.app/view/isp-ts-evaluation#id=398 2018-&gt;2019;lat=47.1924702166354;lon=-122.4100528125636;year=2018;bf=7;level=18;"), "landsat_time_series")</f>
        <v>landsat_time_series</v>
      </c>
      <c r="H399" s="4" t="str">
        <f>HYPERLINK(CONCATENATE("https://jstnbraaten.users.earthengine.app/view/landsat-timeseries-explorer#run=true;lon=-122.4100528125636;lat=47.1924702166354;from=01-01;to=12-31;index=NDVI;rgb=NIR%2FRED%2FGREEN;chipwidth=1;"), "landsat_chips")</f>
        <v>landsat_chips</v>
      </c>
      <c r="I399" s="4" t="str">
        <f>HYPERLINK(CONCATENATE("https://livingatlas.arcgis.com/wayback/#ext=-122.41105281256361,47.1934702166354,-122.4090528125636,47.1914702166354"), "wayback")</f>
        <v>wayback</v>
      </c>
      <c r="J399" s="9" t="s">
        <v>25</v>
      </c>
      <c r="K399" s="9" t="s">
        <v>26</v>
      </c>
      <c r="L399" s="9" t="s">
        <v>15</v>
      </c>
      <c r="M399" s="9" t="s">
        <v>105</v>
      </c>
    </row>
    <row r="400" spans="1:13">
      <c r="A400" s="1" t="s">
        <v>13</v>
      </c>
      <c r="B400" s="1">
        <v>399</v>
      </c>
      <c r="C400" s="1">
        <v>2015</v>
      </c>
      <c r="D400" s="1">
        <v>2016</v>
      </c>
      <c r="E400" s="1">
        <v>35.36162063981461</v>
      </c>
      <c r="F400" s="1">
        <v>-84.523746793836523</v>
      </c>
      <c r="G400" s="4" t="str">
        <f>HYPERLINK(CONCATENATE("https://ee-faluhong.projects.earthengine.app/view/isp-ts-evaluation#id=399 2015-&gt;2016;lat=35.36162063981461;lon=-84.52374679383652;year=2015;bf=7;level=18;"), "landsat_time_series")</f>
        <v>landsat_time_series</v>
      </c>
      <c r="H400" s="4" t="str">
        <f>HYPERLINK(CONCATENATE("https://jstnbraaten.users.earthengine.app/view/landsat-timeseries-explorer#run=true;lon=-84.52374679383652;lat=35.36162063981461;from=01-01;to=12-31;index=NDVI;rgb=NIR%2FRED%2FGREEN;chipwidth=1;"), "landsat_chips")</f>
        <v>landsat_chips</v>
      </c>
      <c r="I400" s="4" t="str">
        <f>HYPERLINK(CONCATENATE("https://livingatlas.arcgis.com/wayback/#ext=-84.52474679383653,35.36262063981461,-84.52274679383652,35.36062063981461"), "wayback")</f>
        <v>wayback</v>
      </c>
      <c r="J400" s="9" t="s">
        <v>17</v>
      </c>
      <c r="L400" s="9" t="s">
        <v>15</v>
      </c>
      <c r="M400" s="9" t="s">
        <v>106</v>
      </c>
    </row>
    <row r="401" spans="1:13">
      <c r="A401" s="1" t="s">
        <v>13</v>
      </c>
      <c r="B401" s="1">
        <v>400</v>
      </c>
      <c r="C401" s="1">
        <v>2011</v>
      </c>
      <c r="D401" s="1">
        <v>2012</v>
      </c>
      <c r="E401" s="1">
        <v>43.664784297772258</v>
      </c>
      <c r="F401" s="1">
        <v>-92.589433963768002</v>
      </c>
      <c r="G401" s="4" t="str">
        <f>HYPERLINK(CONCATENATE("https://ee-faluhong.projects.earthengine.app/view/isp-ts-evaluation#id=400 2011-&gt;2012;lat=43.66478429777226;lon=-92.589433963768;year=2011;bf=7;level=18;"), "landsat_time_series")</f>
        <v>landsat_time_series</v>
      </c>
      <c r="H401" s="4" t="str">
        <f>HYPERLINK(CONCATENATE("https://jstnbraaten.users.earthengine.app/view/landsat-timeseries-explorer#run=true;lon=-92.589433963768;lat=43.66478429777226;from=01-01;to=12-31;index=NDVI;rgb=NIR%2FRED%2FGREEN;chipwidth=1;"), "landsat_chips")</f>
        <v>landsat_chips</v>
      </c>
      <c r="I401" s="4" t="str">
        <f>HYPERLINK(CONCATENATE("https://livingatlas.arcgis.com/wayback/#ext=-92.590433963768,43.665784297772255,-92.588433963768,43.66378429777226"), "wayback")</f>
        <v>wayback</v>
      </c>
      <c r="J401" s="9" t="s">
        <v>17</v>
      </c>
      <c r="L401" s="9" t="s">
        <v>15</v>
      </c>
      <c r="M401" s="9" t="s">
        <v>18</v>
      </c>
    </row>
    <row r="402" spans="1:13">
      <c r="A402" s="1" t="s">
        <v>13</v>
      </c>
      <c r="B402" s="1">
        <v>401</v>
      </c>
      <c r="C402" s="1">
        <v>2004</v>
      </c>
      <c r="D402" s="1">
        <v>2005</v>
      </c>
      <c r="E402" s="1">
        <v>46.634236753021213</v>
      </c>
      <c r="F402" s="1">
        <v>-98.709727893838135</v>
      </c>
      <c r="G402" s="4" t="str">
        <f>HYPERLINK(CONCATENATE("https://ee-faluhong.projects.earthengine.app/view/isp-ts-evaluation#id=401 2004-&gt;2005;lat=46.63423675302121;lon=-98.70972789383814;year=2004;bf=7;level=18;"), "landsat_time_series")</f>
        <v>landsat_time_series</v>
      </c>
      <c r="H402" s="4" t="str">
        <f>HYPERLINK(CONCATENATE("https://jstnbraaten.users.earthengine.app/view/landsat-timeseries-explorer#run=true;lon=-98.70972789383814;lat=46.63423675302121;from=01-01;to=12-31;index=NDVI;rgb=NIR%2FRED%2FGREEN;chipwidth=1;"), "landsat_chips")</f>
        <v>landsat_chips</v>
      </c>
      <c r="I402" s="4" t="str">
        <f>HYPERLINK(CONCATENATE("https://livingatlas.arcgis.com/wayback/#ext=-98.71072789383814,46.63523675302121,-98.70872789383813,46.633236753021215"), "wayback")</f>
        <v>wayback</v>
      </c>
      <c r="J402" s="9" t="s">
        <v>19</v>
      </c>
      <c r="L402" s="9" t="s">
        <v>15</v>
      </c>
      <c r="M402" s="9" t="s">
        <v>33</v>
      </c>
    </row>
    <row r="403" spans="1:13">
      <c r="A403" s="1" t="s">
        <v>13</v>
      </c>
      <c r="B403" s="1">
        <v>402</v>
      </c>
      <c r="C403" s="1">
        <v>2019</v>
      </c>
      <c r="D403" s="1">
        <v>2020</v>
      </c>
      <c r="E403" s="1">
        <v>41.162598111361397</v>
      </c>
      <c r="F403" s="1">
        <v>-82.233740550921027</v>
      </c>
      <c r="G403" s="4" t="str">
        <f>HYPERLINK(CONCATENATE("https://ee-faluhong.projects.earthengine.app/view/isp-ts-evaluation#id=402 2019-&gt;2020;lat=41.1625981113614;lon=-82.23374055092103;year=2019;bf=7;level=18;"), "landsat_time_series")</f>
        <v>landsat_time_series</v>
      </c>
      <c r="H403" s="4" t="str">
        <f>HYPERLINK(CONCATENATE("https://jstnbraaten.users.earthengine.app/view/landsat-timeseries-explorer#run=true;lon=-82.23374055092103;lat=41.1625981113614;from=01-01;to=12-31;index=NDVI;rgb=NIR%2FRED%2FGREEN;chipwidth=1;"), "landsat_chips")</f>
        <v>landsat_chips</v>
      </c>
      <c r="I403" s="4" t="str">
        <f>HYPERLINK(CONCATENATE("https://livingatlas.arcgis.com/wayback/#ext=-82.23474055092103,41.163598111361395,-82.23274055092102,41.1615981113614"), "wayback")</f>
        <v>wayback</v>
      </c>
      <c r="J403" s="9" t="s">
        <v>17</v>
      </c>
      <c r="L403" s="9" t="s">
        <v>15</v>
      </c>
      <c r="M403" s="9" t="s">
        <v>18</v>
      </c>
    </row>
    <row r="404" spans="1:13">
      <c r="A404" s="1" t="s">
        <v>13</v>
      </c>
      <c r="B404" s="1">
        <v>403</v>
      </c>
      <c r="C404" s="1">
        <v>2017</v>
      </c>
      <c r="D404" s="1">
        <v>2018</v>
      </c>
      <c r="E404" s="1">
        <v>47.746168229105081</v>
      </c>
      <c r="F404" s="1">
        <v>-89.490914426270564</v>
      </c>
      <c r="G404" s="4" t="str">
        <f>HYPERLINK(CONCATENATE("https://ee-faluhong.projects.earthengine.app/view/isp-ts-evaluation#id=403 2017-&gt;2018;lat=47.74616822910508;lon=-89.49091442627056;year=2017;bf=7;level=18;"), "landsat_time_series")</f>
        <v>landsat_time_series</v>
      </c>
      <c r="H404" s="4" t="str">
        <f>HYPERLINK(CONCATENATE("https://jstnbraaten.users.earthengine.app/view/landsat-timeseries-explorer#run=true;lon=-89.49091442627056;lat=47.74616822910508;from=01-01;to=12-31;index=NDVI;rgb=NIR%2FRED%2FGREEN;chipwidth=1;"), "landsat_chips")</f>
        <v>landsat_chips</v>
      </c>
      <c r="I404" s="4" t="str">
        <f>HYPERLINK(CONCATENATE("https://livingatlas.arcgis.com/wayback/#ext=-89.49191442627057,47.74716822910508,-89.48991442627056,47.74516822910508"), "wayback")</f>
        <v>wayback</v>
      </c>
      <c r="J404" s="9" t="s">
        <v>19</v>
      </c>
      <c r="L404" s="9" t="s">
        <v>15</v>
      </c>
      <c r="M404" s="9" t="s">
        <v>41</v>
      </c>
    </row>
    <row r="405" spans="1:13">
      <c r="A405" s="1" t="s">
        <v>13</v>
      </c>
      <c r="B405" s="1">
        <v>404</v>
      </c>
      <c r="C405" s="1">
        <v>2018</v>
      </c>
      <c r="D405" s="1">
        <v>2019</v>
      </c>
      <c r="E405" s="1">
        <v>32.196394958615457</v>
      </c>
      <c r="F405" s="1">
        <v>-92.574008997268436</v>
      </c>
      <c r="G405" s="4" t="str">
        <f>HYPERLINK(CONCATENATE("https://ee-faluhong.projects.earthengine.app/view/isp-ts-evaluation#id=404 2018-&gt;2019;lat=32.19639495861546;lon=-92.57400899726844;year=2018;bf=7;level=18;"), "landsat_time_series")</f>
        <v>landsat_time_series</v>
      </c>
      <c r="H405" s="4" t="str">
        <f>HYPERLINK(CONCATENATE("https://jstnbraaten.users.earthengine.app/view/landsat-timeseries-explorer#run=true;lon=-92.57400899726844;lat=32.19639495861546;from=01-01;to=12-31;index=NDVI;rgb=NIR%2FRED%2FGREEN;chipwidth=1;"), "landsat_chips")</f>
        <v>landsat_chips</v>
      </c>
      <c r="I405" s="4" t="str">
        <f>HYPERLINK(CONCATENATE("https://livingatlas.arcgis.com/wayback/#ext=-92.57500899726844,32.197394958615455,-92.57300899726843,32.19539495861546"), "wayback")</f>
        <v>wayback</v>
      </c>
      <c r="J405" s="9" t="s">
        <v>25</v>
      </c>
      <c r="K405" s="9" t="s">
        <v>26</v>
      </c>
      <c r="L405" s="9" t="s">
        <v>15</v>
      </c>
      <c r="M405" s="9" t="s">
        <v>18</v>
      </c>
    </row>
    <row r="406" spans="1:13">
      <c r="A406" s="1" t="s">
        <v>13</v>
      </c>
      <c r="B406" s="1">
        <v>405</v>
      </c>
      <c r="C406" s="1">
        <v>2010</v>
      </c>
      <c r="D406" s="1">
        <v>2011</v>
      </c>
      <c r="E406" s="1">
        <v>29.85050216664348</v>
      </c>
      <c r="F406" s="1">
        <v>-82.871440627485697</v>
      </c>
      <c r="G406" s="4" t="str">
        <f>HYPERLINK(CONCATENATE("https://ee-faluhong.projects.earthengine.app/view/isp-ts-evaluation#id=405 2010-&gt;2011;lat=29.85050216664348;lon=-82.8714406274857;year=2010;bf=7;level=18;"), "landsat_time_series")</f>
        <v>landsat_time_series</v>
      </c>
      <c r="H406" s="4" t="str">
        <f>HYPERLINK(CONCATENATE("https://jstnbraaten.users.earthengine.app/view/landsat-timeseries-explorer#run=true;lon=-82.8714406274857;lat=29.85050216664348;from=01-01;to=12-31;index=NDVI;rgb=NIR%2FRED%2FGREEN;chipwidth=1;"), "landsat_chips")</f>
        <v>landsat_chips</v>
      </c>
      <c r="I406" s="4" t="str">
        <f>HYPERLINK(CONCATENATE("https://livingatlas.arcgis.com/wayback/#ext=-82.8724406274857,29.85150216664348,-82.87044062748569,29.84950216664348"), "wayback")</f>
        <v>wayback</v>
      </c>
      <c r="J406" s="9" t="s">
        <v>17</v>
      </c>
      <c r="L406" s="9" t="s">
        <v>15</v>
      </c>
      <c r="M406" s="9" t="s">
        <v>38</v>
      </c>
    </row>
    <row r="407" spans="1:13">
      <c r="A407" s="1" t="s">
        <v>13</v>
      </c>
      <c r="B407" s="1">
        <v>406</v>
      </c>
      <c r="C407" s="1">
        <v>2014</v>
      </c>
      <c r="D407" s="1">
        <v>2015</v>
      </c>
      <c r="E407" s="1">
        <v>33.292365473921343</v>
      </c>
      <c r="F407" s="1">
        <v>-96.591407479835524</v>
      </c>
      <c r="G407" s="4" t="str">
        <f>HYPERLINK(CONCATENATE("https://ee-faluhong.projects.earthengine.app/view/isp-ts-evaluation#id=406 2014-&gt;2015;lat=33.29236547392134;lon=-96.59140747983552;year=2014;bf=7;level=18;"), "landsat_time_series")</f>
        <v>landsat_time_series</v>
      </c>
      <c r="H407" s="4" t="str">
        <f>HYPERLINK(CONCATENATE("https://jstnbraaten.users.earthengine.app/view/landsat-timeseries-explorer#run=true;lon=-96.59140747983552;lat=33.29236547392134;from=01-01;to=12-31;index=NDVI;rgb=NIR%2FRED%2FGREEN;chipwidth=1;"), "landsat_chips")</f>
        <v>landsat_chips</v>
      </c>
      <c r="I407" s="4" t="str">
        <f>HYPERLINK(CONCATENATE("https://livingatlas.arcgis.com/wayback/#ext=-96.59240747983553,33.29336547392134,-96.59040747983552,33.291365473921346"), "wayback")</f>
        <v>wayback</v>
      </c>
      <c r="J407" s="9" t="s">
        <v>21</v>
      </c>
      <c r="L407" s="9" t="s">
        <v>15</v>
      </c>
      <c r="M407" s="9" t="s">
        <v>85</v>
      </c>
    </row>
    <row r="408" spans="1:13">
      <c r="A408" s="1" t="s">
        <v>13</v>
      </c>
      <c r="B408" s="1">
        <v>407</v>
      </c>
      <c r="C408" s="1">
        <v>2002</v>
      </c>
      <c r="D408" s="1">
        <v>2003</v>
      </c>
      <c r="E408" s="1">
        <v>42.045339260301127</v>
      </c>
      <c r="F408" s="1">
        <v>-122.2314163703753</v>
      </c>
      <c r="G408" s="4" t="str">
        <f>HYPERLINK(CONCATENATE("https://ee-faluhong.projects.earthengine.app/view/isp-ts-evaluation#id=407 2002-&gt;2003;lat=42.04533926030113;lon=-122.2314163703753;year=2002;bf=7;level=18;"), "landsat_time_series")</f>
        <v>landsat_time_series</v>
      </c>
      <c r="H408" s="4" t="str">
        <f>HYPERLINK(CONCATENATE("https://jstnbraaten.users.earthengine.app/view/landsat-timeseries-explorer#run=true;lon=-122.2314163703753;lat=42.04533926030113;from=01-01;to=12-31;index=NDVI;rgb=NIR%2FRED%2FGREEN;chipwidth=1;"), "landsat_chips")</f>
        <v>landsat_chips</v>
      </c>
      <c r="I408" s="4" t="str">
        <f>HYPERLINK(CONCATENATE("https://livingatlas.arcgis.com/wayback/#ext=-122.2324163703753,42.046339260301124,-122.2304163703753,42.04433926030113"), "wayback")</f>
        <v>wayback</v>
      </c>
      <c r="J408" s="9" t="s">
        <v>19</v>
      </c>
      <c r="L408" s="9" t="s">
        <v>15</v>
      </c>
      <c r="M408" s="9" t="s">
        <v>20</v>
      </c>
    </row>
    <row r="409" spans="1:13">
      <c r="A409" s="1" t="s">
        <v>13</v>
      </c>
      <c r="B409" s="1">
        <v>408</v>
      </c>
      <c r="C409" s="1">
        <v>2018</v>
      </c>
      <c r="D409" s="1">
        <v>2019</v>
      </c>
      <c r="E409" s="1">
        <v>43.553973337494917</v>
      </c>
      <c r="F409" s="1">
        <v>-98.649430635357859</v>
      </c>
      <c r="G409" s="4" t="str">
        <f>HYPERLINK(CONCATENATE("https://ee-faluhong.projects.earthengine.app/view/isp-ts-evaluation#id=408 2018-&gt;2019;lat=43.55397333749492;lon=-98.64943063535786;year=2018;bf=7;level=18;"), "landsat_time_series")</f>
        <v>landsat_time_series</v>
      </c>
      <c r="H409" s="4" t="str">
        <f>HYPERLINK(CONCATENATE("https://jstnbraaten.users.earthengine.app/view/landsat-timeseries-explorer#run=true;lon=-98.64943063535786;lat=43.55397333749492;from=01-01;to=12-31;index=NDVI;rgb=NIR%2FRED%2FGREEN;chipwidth=1;"), "landsat_chips")</f>
        <v>landsat_chips</v>
      </c>
      <c r="I409" s="4" t="str">
        <f>HYPERLINK(CONCATENATE("https://livingatlas.arcgis.com/wayback/#ext=-98.65043063535786,43.554973337494914,-98.64843063535785,43.55297333749492"), "wayback")</f>
        <v>wayback</v>
      </c>
      <c r="J409" s="9" t="s">
        <v>19</v>
      </c>
      <c r="L409" s="9" t="s">
        <v>15</v>
      </c>
      <c r="M409" s="9" t="s">
        <v>99</v>
      </c>
    </row>
    <row r="410" spans="1:13">
      <c r="A410" s="1" t="s">
        <v>13</v>
      </c>
      <c r="B410" s="1">
        <v>409</v>
      </c>
      <c r="C410" s="1">
        <v>2006</v>
      </c>
      <c r="D410" s="1">
        <v>2007</v>
      </c>
      <c r="E410" s="1">
        <v>30.44604115568362</v>
      </c>
      <c r="F410" s="1">
        <v>-92.872429217146646</v>
      </c>
      <c r="G410" s="4" t="str">
        <f>HYPERLINK(CONCATENATE("https://ee-faluhong.projects.earthengine.app/view/isp-ts-evaluation#id=409 2006-&gt;2007;lat=30.44604115568362;lon=-92.87242921714665;year=2006;bf=7;level=18;"), "landsat_time_series")</f>
        <v>landsat_time_series</v>
      </c>
      <c r="H410" s="4" t="str">
        <f>HYPERLINK(CONCATENATE("https://jstnbraaten.users.earthengine.app/view/landsat-timeseries-explorer#run=true;lon=-92.87242921714665;lat=30.44604115568362;from=01-01;to=12-31;index=NDVI;rgb=NIR%2FRED%2FGREEN;chipwidth=1;"), "landsat_chips")</f>
        <v>landsat_chips</v>
      </c>
      <c r="I410" s="4" t="str">
        <f>HYPERLINK(CONCATENATE("https://livingatlas.arcgis.com/wayback/#ext=-92.87342921714665,30.44704115568362,-92.87142921714664,30.44504115568362"), "wayback")</f>
        <v>wayback</v>
      </c>
      <c r="J410" s="9" t="s">
        <v>21</v>
      </c>
      <c r="L410" s="9" t="s">
        <v>15</v>
      </c>
      <c r="M410" s="9" t="s">
        <v>85</v>
      </c>
    </row>
    <row r="411" spans="1:13">
      <c r="A411" s="1" t="s">
        <v>13</v>
      </c>
      <c r="B411" s="1">
        <v>410</v>
      </c>
      <c r="C411" s="1">
        <v>2018</v>
      </c>
      <c r="D411" s="1">
        <v>2019</v>
      </c>
      <c r="E411" s="1">
        <v>36.142042670440169</v>
      </c>
      <c r="F411" s="1">
        <v>-86.501273337111499</v>
      </c>
      <c r="G411" s="4" t="str">
        <f>HYPERLINK(CONCATENATE("https://ee-faluhong.projects.earthengine.app/view/isp-ts-evaluation#id=410 2018-&gt;2019;lat=36.14204267044017;lon=-86.5012733371115;year=2018;bf=7;level=18;"), "landsat_time_series")</f>
        <v>landsat_time_series</v>
      </c>
      <c r="H411" s="4" t="str">
        <f>HYPERLINK(CONCATENATE("https://jstnbraaten.users.earthengine.app/view/landsat-timeseries-explorer#run=true;lon=-86.5012733371115;lat=36.14204267044017;from=01-01;to=12-31;index=NDVI;rgb=NIR%2FRED%2FGREEN;chipwidth=1;"), "landsat_chips")</f>
        <v>landsat_chips</v>
      </c>
      <c r="I411" s="4" t="str">
        <f>HYPERLINK(CONCATENATE("https://livingatlas.arcgis.com/wayback/#ext=-86.5022733371115,36.14304267044017,-86.5002733371115,36.14104267044017"), "wayback")</f>
        <v>wayback</v>
      </c>
      <c r="J411" s="9" t="s">
        <v>21</v>
      </c>
      <c r="L411" s="9" t="s">
        <v>15</v>
      </c>
      <c r="M411" s="9" t="s">
        <v>16</v>
      </c>
    </row>
    <row r="412" spans="1:13">
      <c r="A412" s="1" t="s">
        <v>13</v>
      </c>
      <c r="B412" s="1">
        <v>411</v>
      </c>
      <c r="C412" s="1">
        <v>2019</v>
      </c>
      <c r="D412" s="1">
        <v>2020</v>
      </c>
      <c r="E412" s="1">
        <v>40.986778860246233</v>
      </c>
      <c r="F412" s="1">
        <v>-90.336659970097301</v>
      </c>
      <c r="G412" s="4" t="str">
        <f>HYPERLINK(CONCATENATE("https://ee-faluhong.projects.earthengine.app/view/isp-ts-evaluation#id=411 2019-&gt;2020;lat=40.98677886024623;lon=-90.3366599700973;year=2019;bf=7;level=18;"), "landsat_time_series")</f>
        <v>landsat_time_series</v>
      </c>
      <c r="H412" s="4" t="str">
        <f>HYPERLINK(CONCATENATE("https://jstnbraaten.users.earthengine.app/view/landsat-timeseries-explorer#run=true;lon=-90.3366599700973;lat=40.98677886024623;from=01-01;to=12-31;index=NDVI;rgb=NIR%2FRED%2FGREEN;chipwidth=1;"), "landsat_chips")</f>
        <v>landsat_chips</v>
      </c>
      <c r="I412" s="4" t="str">
        <f>HYPERLINK(CONCATENATE("https://livingatlas.arcgis.com/wayback/#ext=-90.3376599700973,40.98777886024623,-90.3356599700973,40.985778860246235"), "wayback")</f>
        <v>wayback</v>
      </c>
      <c r="J412" s="9" t="s">
        <v>25</v>
      </c>
      <c r="K412" s="9" t="s">
        <v>26</v>
      </c>
      <c r="L412" s="9" t="s">
        <v>15</v>
      </c>
      <c r="M412" s="9" t="s">
        <v>18</v>
      </c>
    </row>
    <row r="413" spans="1:13">
      <c r="A413" s="1" t="s">
        <v>13</v>
      </c>
      <c r="B413" s="1">
        <v>412</v>
      </c>
      <c r="C413" s="1">
        <v>2007</v>
      </c>
      <c r="D413" s="1">
        <v>2008</v>
      </c>
      <c r="E413" s="1">
        <v>33.641221451275783</v>
      </c>
      <c r="F413" s="1">
        <v>-84.638073113494258</v>
      </c>
      <c r="G413" s="4" t="str">
        <f>HYPERLINK(CONCATENATE("https://ee-faluhong.projects.earthengine.app/view/isp-ts-evaluation#id=412 2007-&gt;2008;lat=33.64122145127578;lon=-84.63807311349426;year=2007;bf=7;level=18;"), "landsat_time_series")</f>
        <v>landsat_time_series</v>
      </c>
      <c r="H413" s="4" t="str">
        <f>HYPERLINK(CONCATENATE("https://jstnbraaten.users.earthengine.app/view/landsat-timeseries-explorer#run=true;lon=-84.63807311349426;lat=33.64122145127578;from=01-01;to=12-31;index=NDVI;rgb=NIR%2FRED%2FGREEN;chipwidth=1;"), "landsat_chips")</f>
        <v>landsat_chips</v>
      </c>
      <c r="I413" s="4" t="str">
        <f>HYPERLINK(CONCATENATE("https://livingatlas.arcgis.com/wayback/#ext=-84.63907311349426,33.64222145127578,-84.63707311349425,33.640221451275785"), "wayback")</f>
        <v>wayback</v>
      </c>
      <c r="J413" s="9" t="s">
        <v>14</v>
      </c>
      <c r="L413" s="9" t="s">
        <v>15</v>
      </c>
      <c r="M413" s="9" t="s">
        <v>85</v>
      </c>
    </row>
    <row r="414" spans="1:13">
      <c r="A414" s="1" t="s">
        <v>13</v>
      </c>
      <c r="B414" s="1">
        <v>413</v>
      </c>
      <c r="C414" s="1">
        <v>2013</v>
      </c>
      <c r="D414" s="1">
        <v>2014</v>
      </c>
      <c r="E414" s="1">
        <v>33.571456196114532</v>
      </c>
      <c r="F414" s="1">
        <v>-109.2631960359095</v>
      </c>
      <c r="G414" s="4" t="str">
        <f>HYPERLINK(CONCATENATE("https://ee-faluhong.projects.earthengine.app/view/isp-ts-evaluation#id=413 2013-&gt;2014;lat=33.57145619611453;lon=-109.2631960359095;year=2013;bf=7;level=18;"), "landsat_time_series")</f>
        <v>landsat_time_series</v>
      </c>
      <c r="H414" s="4" t="str">
        <f>HYPERLINK(CONCATENATE("https://jstnbraaten.users.earthengine.app/view/landsat-timeseries-explorer#run=true;lon=-109.2631960359095;lat=33.57145619611453;from=01-01;to=12-31;index=NDVI;rgb=NIR%2FRED%2FGREEN;chipwidth=1;"), "landsat_chips")</f>
        <v>landsat_chips</v>
      </c>
      <c r="I414" s="4" t="str">
        <f>HYPERLINK(CONCATENATE("https://livingatlas.arcgis.com/wayback/#ext=-109.2641960359095,33.57245619611453,-109.2621960359095,33.570456196114534"), "wayback")</f>
        <v>wayback</v>
      </c>
      <c r="J414" s="9" t="s">
        <v>19</v>
      </c>
      <c r="L414" s="9" t="s">
        <v>15</v>
      </c>
      <c r="M414" s="9" t="s">
        <v>33</v>
      </c>
    </row>
    <row r="415" spans="1:13">
      <c r="A415" s="1" t="s">
        <v>13</v>
      </c>
      <c r="B415" s="1">
        <v>414</v>
      </c>
      <c r="C415" s="1">
        <v>2008</v>
      </c>
      <c r="D415" s="1">
        <v>2009</v>
      </c>
      <c r="E415" s="1">
        <v>34.268204990796207</v>
      </c>
      <c r="F415" s="1">
        <v>-107.9525766461994</v>
      </c>
      <c r="G415" s="4" t="str">
        <f>HYPERLINK(CONCATENATE("https://ee-faluhong.projects.earthengine.app/view/isp-ts-evaluation#id=414 2008-&gt;2009;lat=34.26820499079621;lon=-107.9525766461994;year=2008;bf=7;level=18;"), "landsat_time_series")</f>
        <v>landsat_time_series</v>
      </c>
      <c r="H415" s="4" t="str">
        <f>HYPERLINK(CONCATENATE("https://jstnbraaten.users.earthengine.app/view/landsat-timeseries-explorer#run=true;lon=-107.9525766461994;lat=34.26820499079621;from=01-01;to=12-31;index=NDVI;rgb=NIR%2FRED%2FGREEN;chipwidth=1;"), "landsat_chips")</f>
        <v>landsat_chips</v>
      </c>
      <c r="I415" s="4" t="str">
        <f>HYPERLINK(CONCATENATE("https://livingatlas.arcgis.com/wayback/#ext=-107.95357664619941,34.269204990796204,-107.9515766461994,34.26720499079621"), "wayback")</f>
        <v>wayback</v>
      </c>
      <c r="J415" s="9" t="s">
        <v>19</v>
      </c>
      <c r="L415" s="9" t="s">
        <v>15</v>
      </c>
      <c r="M415" s="9" t="s">
        <v>33</v>
      </c>
    </row>
    <row r="416" spans="1:13">
      <c r="A416" s="1" t="s">
        <v>13</v>
      </c>
      <c r="B416" s="1">
        <v>415</v>
      </c>
      <c r="C416" s="1">
        <v>2002</v>
      </c>
      <c r="D416" s="1">
        <v>2003</v>
      </c>
      <c r="E416" s="1">
        <v>44.252917057972482</v>
      </c>
      <c r="F416" s="1">
        <v>-115.6867918994741</v>
      </c>
      <c r="G416" s="4" t="str">
        <f>HYPERLINK(CONCATENATE("https://ee-faluhong.projects.earthengine.app/view/isp-ts-evaluation#id=415 2002-&gt;2003;lat=44.25291705797248;lon=-115.6867918994741;year=2002;bf=7;level=18;"), "landsat_time_series")</f>
        <v>landsat_time_series</v>
      </c>
      <c r="H416" s="4" t="str">
        <f>HYPERLINK(CONCATENATE("https://jstnbraaten.users.earthengine.app/view/landsat-timeseries-explorer#run=true;lon=-115.6867918994741;lat=44.25291705797248;from=01-01;to=12-31;index=NDVI;rgb=NIR%2FRED%2FGREEN;chipwidth=1;"), "landsat_chips")</f>
        <v>landsat_chips</v>
      </c>
      <c r="I416" s="4" t="str">
        <f>HYPERLINK(CONCATENATE("https://livingatlas.arcgis.com/wayback/#ext=-115.6877918994741,44.25391705797248,-115.6857918994741,44.251917057972484"), "wayback")</f>
        <v>wayback</v>
      </c>
      <c r="J416" s="9" t="s">
        <v>19</v>
      </c>
      <c r="L416" s="9" t="s">
        <v>15</v>
      </c>
      <c r="M416" s="9" t="s">
        <v>20</v>
      </c>
    </row>
    <row r="417" spans="1:13">
      <c r="A417" s="1" t="s">
        <v>13</v>
      </c>
      <c r="B417" s="1">
        <v>416</v>
      </c>
      <c r="C417" s="1">
        <v>2003</v>
      </c>
      <c r="D417" s="1">
        <v>2004</v>
      </c>
      <c r="E417" s="1">
        <v>31.493218882573942</v>
      </c>
      <c r="F417" s="1">
        <v>-90.118694551179715</v>
      </c>
      <c r="G417" s="4" t="str">
        <f>HYPERLINK(CONCATENATE("https://ee-faluhong.projects.earthengine.app/view/isp-ts-evaluation#id=416 2003-&gt;2004;lat=31.49321888257394;lon=-90.11869455117971;year=2003;bf=7;level=18;"), "landsat_time_series")</f>
        <v>landsat_time_series</v>
      </c>
      <c r="H417" s="4" t="str">
        <f>HYPERLINK(CONCATENATE("https://jstnbraaten.users.earthengine.app/view/landsat-timeseries-explorer#run=true;lon=-90.11869455117971;lat=31.49321888257394;from=01-01;to=12-31;index=NDVI;rgb=NIR%2FRED%2FGREEN;chipwidth=1;"), "landsat_chips")</f>
        <v>landsat_chips</v>
      </c>
      <c r="I417" s="4" t="str">
        <f>HYPERLINK(CONCATENATE("https://livingatlas.arcgis.com/wayback/#ext=-90.11969455117972,31.494218882573943,-90.11769455117971,31.49221888257394"), "wayback")</f>
        <v>wayback</v>
      </c>
      <c r="J417" s="9" t="s">
        <v>25</v>
      </c>
      <c r="K417" s="9" t="s">
        <v>26</v>
      </c>
      <c r="L417" s="9" t="s">
        <v>15</v>
      </c>
      <c r="M417" s="9" t="s">
        <v>18</v>
      </c>
    </row>
    <row r="418" spans="1:13">
      <c r="A418" s="1" t="s">
        <v>13</v>
      </c>
      <c r="B418" s="1">
        <v>417</v>
      </c>
      <c r="C418" s="1">
        <v>2012</v>
      </c>
      <c r="D418" s="1">
        <v>2013</v>
      </c>
      <c r="E418" s="1">
        <v>35.788527567215027</v>
      </c>
      <c r="F418" s="1">
        <v>-76.749871234191716</v>
      </c>
      <c r="G418" s="4" t="str">
        <f>HYPERLINK(CONCATENATE("https://ee-faluhong.projects.earthengine.app/view/isp-ts-evaluation#id=417 2012-&gt;2013;lat=35.78852756721503;lon=-76.74987123419172;year=2012;bf=7;level=18;"), "landsat_time_series")</f>
        <v>landsat_time_series</v>
      </c>
      <c r="H418" s="4" t="str">
        <f>HYPERLINK(CONCATENATE("https://jstnbraaten.users.earthengine.app/view/landsat-timeseries-explorer#run=true;lon=-76.74987123419172;lat=35.78852756721503;from=01-01;to=12-31;index=NDVI;rgb=NIR%2FRED%2FGREEN;chipwidth=1;"), "landsat_chips")</f>
        <v>landsat_chips</v>
      </c>
      <c r="I418" s="4" t="str">
        <f>HYPERLINK(CONCATENATE("https://livingatlas.arcgis.com/wayback/#ext=-76.75087123419172,35.789527567215025,-76.74887123419171,35.78752756721503"), "wayback")</f>
        <v>wayback</v>
      </c>
      <c r="J418" s="9" t="s">
        <v>25</v>
      </c>
      <c r="K418" s="9" t="s">
        <v>26</v>
      </c>
      <c r="L418" s="9" t="s">
        <v>15</v>
      </c>
      <c r="M418" s="9" t="s">
        <v>18</v>
      </c>
    </row>
    <row r="419" spans="1:13">
      <c r="A419" s="1" t="s">
        <v>13</v>
      </c>
      <c r="B419" s="1">
        <v>418</v>
      </c>
      <c r="C419" s="1">
        <v>2001</v>
      </c>
      <c r="D419" s="1">
        <v>2002</v>
      </c>
      <c r="E419" s="1">
        <v>42.869292106885837</v>
      </c>
      <c r="F419" s="1">
        <v>-78.683527932586301</v>
      </c>
      <c r="G419" s="4" t="str">
        <f>HYPERLINK(CONCATENATE("https://ee-faluhong.projects.earthengine.app/view/isp-ts-evaluation#id=418 2001-&gt;2002;lat=42.86929210688584;lon=-78.6835279325863;year=2001;bf=7;level=18;"), "landsat_time_series")</f>
        <v>landsat_time_series</v>
      </c>
      <c r="H419" s="4" t="str">
        <f>HYPERLINK(CONCATENATE("https://jstnbraaten.users.earthengine.app/view/landsat-timeseries-explorer#run=true;lon=-78.6835279325863;lat=42.86929210688584;from=01-01;to=12-31;index=NDVI;rgb=NIR%2FRED%2FGREEN;chipwidth=1;"), "landsat_chips")</f>
        <v>landsat_chips</v>
      </c>
      <c r="I419" s="4" t="str">
        <f>HYPERLINK(CONCATENATE("https://livingatlas.arcgis.com/wayback/#ext=-78.6845279325863,42.870292106885834,-78.6825279325863,42.86829210688584"), "wayback")</f>
        <v>wayback</v>
      </c>
      <c r="J419" s="9" t="s">
        <v>34</v>
      </c>
      <c r="M419" s="9" t="s">
        <v>107</v>
      </c>
    </row>
    <row r="420" spans="1:13">
      <c r="A420" s="1" t="s">
        <v>13</v>
      </c>
      <c r="B420" s="1">
        <v>419</v>
      </c>
      <c r="C420" s="1">
        <v>2000</v>
      </c>
      <c r="D420" s="1">
        <v>2001</v>
      </c>
      <c r="E420" s="1">
        <v>28.962254419109129</v>
      </c>
      <c r="F420" s="1">
        <v>-81.679797172361503</v>
      </c>
      <c r="G420" s="4" t="str">
        <f>HYPERLINK(CONCATENATE("https://ee-faluhong.projects.earthengine.app/view/isp-ts-evaluation#id=419 2000-&gt;2001;lat=28.96225441910913;lon=-81.6797971723615;year=2000;bf=7;level=18;"), "landsat_time_series")</f>
        <v>landsat_time_series</v>
      </c>
      <c r="H420" s="4" t="str">
        <f>HYPERLINK(CONCATENATE("https://jstnbraaten.users.earthengine.app/view/landsat-timeseries-explorer#run=true;lon=-81.6797971723615;lat=28.96225441910913;from=01-01;to=12-31;index=NDVI;rgb=NIR%2FRED%2FGREEN;chipwidth=1;"), "landsat_chips")</f>
        <v>landsat_chips</v>
      </c>
      <c r="I420" s="4" t="str">
        <f>HYPERLINK(CONCATENATE("https://livingatlas.arcgis.com/wayback/#ext=-81.68079717236151,28.96325441910913,-81.6787971723615,28.961254419109128"), "wayback")</f>
        <v>wayback</v>
      </c>
      <c r="J420" s="9" t="s">
        <v>19</v>
      </c>
      <c r="L420" s="9" t="s">
        <v>24</v>
      </c>
      <c r="M420" s="9" t="s">
        <v>18</v>
      </c>
    </row>
    <row r="421" spans="1:13">
      <c r="A421" s="1" t="s">
        <v>13</v>
      </c>
      <c r="B421" s="1">
        <v>420</v>
      </c>
      <c r="C421" s="1">
        <v>2000</v>
      </c>
      <c r="D421" s="1">
        <v>2001</v>
      </c>
      <c r="E421" s="1">
        <v>34.158673053204851</v>
      </c>
      <c r="F421" s="1">
        <v>-79.348033862953059</v>
      </c>
      <c r="G421" s="4" t="str">
        <f>HYPERLINK(CONCATENATE("https://ee-faluhong.projects.earthengine.app/view/isp-ts-evaluation#id=420 2000-&gt;2001;lat=34.15867305320485;lon=-79.34803386295306;year=2000;bf=7;level=18;"), "landsat_time_series")</f>
        <v>landsat_time_series</v>
      </c>
      <c r="H421" s="4" t="str">
        <f>HYPERLINK(CONCATENATE("https://jstnbraaten.users.earthengine.app/view/landsat-timeseries-explorer#run=true;lon=-79.34803386295306;lat=34.15867305320485;from=01-01;to=12-31;index=NDVI;rgb=NIR%2FRED%2FGREEN;chipwidth=1;"), "landsat_chips")</f>
        <v>landsat_chips</v>
      </c>
      <c r="I421" s="4" t="str">
        <f>HYPERLINK(CONCATENATE("https://livingatlas.arcgis.com/wayback/#ext=-79.34903386295306,34.15967305320485,-79.34703386295305,34.15767305320485"), "wayback")</f>
        <v>wayback</v>
      </c>
      <c r="J421" s="9" t="s">
        <v>34</v>
      </c>
      <c r="M421" s="9" t="s">
        <v>32</v>
      </c>
    </row>
    <row r="422" spans="1:13">
      <c r="A422" s="1" t="s">
        <v>13</v>
      </c>
      <c r="B422" s="1">
        <v>421</v>
      </c>
      <c r="C422" s="1">
        <v>2015</v>
      </c>
      <c r="D422" s="1">
        <v>2016</v>
      </c>
      <c r="E422" s="1">
        <v>41.103476303467659</v>
      </c>
      <c r="F422" s="1">
        <v>-114.5117397786305</v>
      </c>
      <c r="G422" s="4" t="str">
        <f>HYPERLINK(CONCATENATE("https://ee-faluhong.projects.earthengine.app/view/isp-ts-evaluation#id=421 2015-&gt;2016;lat=41.10347630346766;lon=-114.5117397786305;year=2015;bf=7;level=18;"), "landsat_time_series")</f>
        <v>landsat_time_series</v>
      </c>
      <c r="H422" s="4" t="str">
        <f>HYPERLINK(CONCATENATE("https://jstnbraaten.users.earthengine.app/view/landsat-timeseries-explorer#run=true;lon=-114.5117397786305;lat=41.10347630346766;from=01-01;to=12-31;index=NDVI;rgb=NIR%2FRED%2FGREEN;chipwidth=1;"), "landsat_chips")</f>
        <v>landsat_chips</v>
      </c>
      <c r="I422" s="4" t="str">
        <f>HYPERLINK(CONCATENATE("https://livingatlas.arcgis.com/wayback/#ext=-114.5127397786305,41.104476303467656,-114.5107397786305,41.10247630346766"), "wayback")</f>
        <v>wayback</v>
      </c>
      <c r="J422" s="9" t="s">
        <v>19</v>
      </c>
      <c r="L422" s="9" t="s">
        <v>15</v>
      </c>
      <c r="M422" s="9" t="s">
        <v>28</v>
      </c>
    </row>
    <row r="423" spans="1:13">
      <c r="A423" s="1" t="s">
        <v>13</v>
      </c>
      <c r="B423" s="1">
        <v>422</v>
      </c>
      <c r="C423" s="1">
        <v>2017</v>
      </c>
      <c r="D423" s="1">
        <v>2018</v>
      </c>
      <c r="E423" s="1">
        <v>39.126978577363317</v>
      </c>
      <c r="F423" s="1">
        <v>-119.1228829094684</v>
      </c>
      <c r="G423" s="4" t="str">
        <f>HYPERLINK(CONCATENATE("https://ee-faluhong.projects.earthengine.app/view/isp-ts-evaluation#id=422 2017-&gt;2018;lat=39.12697857736332;lon=-119.1228829094684;year=2017;bf=7;level=18;"), "landsat_time_series")</f>
        <v>landsat_time_series</v>
      </c>
      <c r="H423" s="4" t="str">
        <f>HYPERLINK(CONCATENATE("https://jstnbraaten.users.earthengine.app/view/landsat-timeseries-explorer#run=true;lon=-119.1228829094684;lat=39.12697857736332;from=01-01;to=12-31;index=NDVI;rgb=NIR%2FRED%2FGREEN;chipwidth=1;"), "landsat_chips")</f>
        <v>landsat_chips</v>
      </c>
      <c r="I423" s="4" t="str">
        <f>HYPERLINK(CONCATENATE("https://livingatlas.arcgis.com/wayback/#ext=-119.1238829094684,39.127978577363315,-119.1218829094684,39.12597857736332"), "wayback")</f>
        <v>wayback</v>
      </c>
      <c r="J423" s="9" t="s">
        <v>19</v>
      </c>
      <c r="L423" s="9" t="s">
        <v>15</v>
      </c>
      <c r="M423" s="9" t="s">
        <v>18</v>
      </c>
    </row>
    <row r="424" spans="1:13">
      <c r="A424" s="1" t="s">
        <v>13</v>
      </c>
      <c r="B424" s="1">
        <v>423</v>
      </c>
      <c r="C424" s="1">
        <v>2009</v>
      </c>
      <c r="D424" s="1">
        <v>2010</v>
      </c>
      <c r="E424" s="1">
        <v>45.966815088318768</v>
      </c>
      <c r="F424" s="1">
        <v>-119.2960529777293</v>
      </c>
      <c r="G424" s="4" t="str">
        <f>HYPERLINK(CONCATENATE("https://ee-faluhong.projects.earthengine.app/view/isp-ts-evaluation#id=423 2009-&gt;2010;lat=45.96681508831877;lon=-119.2960529777293;year=2009;bf=7;level=18;"), "landsat_time_series")</f>
        <v>landsat_time_series</v>
      </c>
      <c r="H424" s="4" t="str">
        <f>HYPERLINK(CONCATENATE("https://jstnbraaten.users.earthengine.app/view/landsat-timeseries-explorer#run=true;lon=-119.2960529777293;lat=45.96681508831877;from=01-01;to=12-31;index=NDVI;rgb=NIR%2FRED%2FGREEN;chipwidth=1;"), "landsat_chips")</f>
        <v>landsat_chips</v>
      </c>
      <c r="I424" s="4" t="str">
        <f>HYPERLINK(CONCATENATE("https://livingatlas.arcgis.com/wayback/#ext=-119.29705297772931,45.967815088318766,-119.2950529777293,45.96581508831877"), "wayback")</f>
        <v>wayback</v>
      </c>
      <c r="J424" s="9" t="s">
        <v>25</v>
      </c>
      <c r="K424" s="9" t="s">
        <v>26</v>
      </c>
      <c r="L424" s="9" t="s">
        <v>15</v>
      </c>
      <c r="M424" s="9" t="s">
        <v>97</v>
      </c>
    </row>
    <row r="425" spans="1:13">
      <c r="A425" s="1" t="s">
        <v>13</v>
      </c>
      <c r="B425" s="1">
        <v>424</v>
      </c>
      <c r="C425" s="1">
        <v>2007</v>
      </c>
      <c r="D425" s="1">
        <v>2008</v>
      </c>
      <c r="E425" s="1">
        <v>47.754433357355239</v>
      </c>
      <c r="F425" s="1">
        <v>-112.7451723460342</v>
      </c>
      <c r="G425" s="4" t="str">
        <f>HYPERLINK(CONCATENATE("https://ee-faluhong.projects.earthengine.app/view/isp-ts-evaluation#id=424 2007-&gt;2008;lat=47.75443335735524;lon=-112.7451723460342;year=2007;bf=7;level=18;"), "landsat_time_series")</f>
        <v>landsat_time_series</v>
      </c>
      <c r="H425" s="4" t="str">
        <f>HYPERLINK(CONCATENATE("https://jstnbraaten.users.earthengine.app/view/landsat-timeseries-explorer#run=true;lon=-112.7451723460342;lat=47.75443335735524;from=01-01;to=12-31;index=NDVI;rgb=NIR%2FRED%2FGREEN;chipwidth=1;"), "landsat_chips")</f>
        <v>landsat_chips</v>
      </c>
      <c r="I425" s="4" t="str">
        <f>HYPERLINK(CONCATENATE("https://livingatlas.arcgis.com/wayback/#ext=-112.7461723460342,47.75543335735524,-112.74417234603419,47.75343335735524"), "wayback")</f>
        <v>wayback</v>
      </c>
      <c r="J425" s="9" t="s">
        <v>19</v>
      </c>
      <c r="L425" s="9" t="s">
        <v>15</v>
      </c>
      <c r="M425" s="9" t="s">
        <v>108</v>
      </c>
    </row>
    <row r="426" spans="1:13">
      <c r="A426" s="1" t="s">
        <v>13</v>
      </c>
      <c r="B426" s="1">
        <v>425</v>
      </c>
      <c r="C426" s="1">
        <v>2016</v>
      </c>
      <c r="D426" s="1">
        <v>2017</v>
      </c>
      <c r="E426" s="1">
        <v>48.148455444616992</v>
      </c>
      <c r="F426" s="1">
        <v>-122.2123821385195</v>
      </c>
      <c r="G426" s="4" t="str">
        <f>HYPERLINK(CONCATENATE("https://ee-faluhong.projects.earthengine.app/view/isp-ts-evaluation#id=425 2016-&gt;2017;lat=48.14845544461699;lon=-122.2123821385195;year=2016;bf=7;level=18;"), "landsat_time_series")</f>
        <v>landsat_time_series</v>
      </c>
      <c r="H426" s="4" t="str">
        <f>HYPERLINK(CONCATENATE("https://jstnbraaten.users.earthengine.app/view/landsat-timeseries-explorer#run=true;lon=-122.2123821385195;lat=48.14845544461699;from=01-01;to=12-31;index=NDVI;rgb=NIR%2FRED%2FGREEN;chipwidth=1;"), "landsat_chips")</f>
        <v>landsat_chips</v>
      </c>
      <c r="I426" s="4" t="str">
        <f>HYPERLINK(CONCATENATE("https://livingatlas.arcgis.com/wayback/#ext=-122.2133821385195,48.14945544461699,-122.2113821385195,48.147455444616995"), "wayback")</f>
        <v>wayback</v>
      </c>
      <c r="J426" s="9" t="s">
        <v>25</v>
      </c>
      <c r="K426" s="9" t="s">
        <v>26</v>
      </c>
      <c r="L426" s="9" t="s">
        <v>15</v>
      </c>
      <c r="M426" s="9" t="s">
        <v>109</v>
      </c>
    </row>
    <row r="427" spans="1:13">
      <c r="A427" s="1" t="s">
        <v>13</v>
      </c>
      <c r="B427" s="1">
        <v>426</v>
      </c>
      <c r="C427" s="1">
        <v>2005</v>
      </c>
      <c r="D427" s="1">
        <v>2006</v>
      </c>
      <c r="E427" s="1">
        <v>32.366350554842057</v>
      </c>
      <c r="F427" s="1">
        <v>-99.715181773796019</v>
      </c>
      <c r="G427" s="4" t="str">
        <f>HYPERLINK(CONCATENATE("https://ee-faluhong.projects.earthengine.app/view/isp-ts-evaluation#id=426 2005-&gt;2006;lat=32.36635055484206;lon=-99.71518177379602;year=2005;bf=7;level=18;"), "landsat_time_series")</f>
        <v>landsat_time_series</v>
      </c>
      <c r="H427" s="4" t="str">
        <f>HYPERLINK(CONCATENATE("https://jstnbraaten.users.earthengine.app/view/landsat-timeseries-explorer#run=true;lon=-99.71518177379602;lat=32.36635055484206;from=01-01;to=12-31;index=NDVI;rgb=NIR%2FRED%2FGREEN;chipwidth=1;"), "landsat_chips")</f>
        <v>landsat_chips</v>
      </c>
      <c r="I427" s="4" t="str">
        <f>HYPERLINK(CONCATENATE("https://livingatlas.arcgis.com/wayback/#ext=-99.71618177379602,32.367350554842055,-99.71418177379601,32.36535055484206"), "wayback")</f>
        <v>wayback</v>
      </c>
      <c r="J427" s="9" t="s">
        <v>14</v>
      </c>
      <c r="L427" s="9" t="s">
        <v>15</v>
      </c>
      <c r="M427" s="9" t="s">
        <v>85</v>
      </c>
    </row>
    <row r="428" spans="1:13">
      <c r="A428" s="1" t="s">
        <v>13</v>
      </c>
      <c r="B428" s="1">
        <v>427</v>
      </c>
      <c r="C428" s="1">
        <v>2000</v>
      </c>
      <c r="D428" s="1">
        <v>2001</v>
      </c>
      <c r="E428" s="1">
        <v>36.803112459003152</v>
      </c>
      <c r="F428" s="1">
        <v>-119.6216809799004</v>
      </c>
      <c r="G428" s="4" t="str">
        <f>HYPERLINK(CONCATENATE("https://ee-faluhong.projects.earthengine.app/view/isp-ts-evaluation#id=427 2000-&gt;2001;lat=36.80311245900315;lon=-119.6216809799004;year=2000;bf=7;level=18;"), "landsat_time_series")</f>
        <v>landsat_time_series</v>
      </c>
      <c r="H428" s="4" t="str">
        <f>HYPERLINK(CONCATENATE("https://jstnbraaten.users.earthengine.app/view/landsat-timeseries-explorer#run=true;lon=-119.6216809799004;lat=36.80311245900315;from=01-01;to=12-31;index=NDVI;rgb=NIR%2FRED%2FGREEN;chipwidth=1;"), "landsat_chips")</f>
        <v>landsat_chips</v>
      </c>
      <c r="I428" s="4" t="str">
        <f>HYPERLINK(CONCATENATE("https://livingatlas.arcgis.com/wayback/#ext=-119.62268097990041,36.80411245900315,-119.6206809799004,36.802112459003155"), "wayback")</f>
        <v>wayback</v>
      </c>
      <c r="J428" s="9" t="s">
        <v>19</v>
      </c>
      <c r="L428" s="9" t="s">
        <v>15</v>
      </c>
      <c r="M428" s="9" t="s">
        <v>99</v>
      </c>
    </row>
    <row r="429" spans="1:13">
      <c r="A429" s="1" t="s">
        <v>13</v>
      </c>
      <c r="B429" s="1">
        <v>428</v>
      </c>
      <c r="C429" s="1">
        <v>2007</v>
      </c>
      <c r="D429" s="1">
        <v>2008</v>
      </c>
      <c r="E429" s="1">
        <v>32.801141865761579</v>
      </c>
      <c r="F429" s="1">
        <v>-116.8343488059954</v>
      </c>
      <c r="G429" s="4" t="str">
        <f>HYPERLINK(CONCATENATE("https://ee-faluhong.projects.earthengine.app/view/isp-ts-evaluation#id=428 2007-&gt;2008;lat=32.80114186576158;lon=-116.8343488059954;year=2007;bf=7;level=18;"), "landsat_time_series")</f>
        <v>landsat_time_series</v>
      </c>
      <c r="H429" s="4" t="str">
        <f>HYPERLINK(CONCATENATE("https://jstnbraaten.users.earthengine.app/view/landsat-timeseries-explorer#run=true;lon=-116.8343488059954;lat=32.80114186576158;from=01-01;to=12-31;index=NDVI;rgb=NIR%2FRED%2FGREEN;chipwidth=1;"), "landsat_chips")</f>
        <v>landsat_chips</v>
      </c>
      <c r="I429" s="4" t="str">
        <f>HYPERLINK(CONCATENATE("https://livingatlas.arcgis.com/wayback/#ext=-116.83534880599541,32.80214186576158,-116.8333488059954,32.80014186576158"), "wayback")</f>
        <v>wayback</v>
      </c>
      <c r="J429" s="9" t="s">
        <v>19</v>
      </c>
      <c r="L429" s="9" t="s">
        <v>31</v>
      </c>
      <c r="M429" s="9" t="s">
        <v>110</v>
      </c>
    </row>
    <row r="430" spans="1:13">
      <c r="A430" s="1" t="s">
        <v>13</v>
      </c>
      <c r="B430" s="1">
        <v>429</v>
      </c>
      <c r="C430" s="1">
        <v>2012</v>
      </c>
      <c r="D430" s="1">
        <v>2013</v>
      </c>
      <c r="E430" s="1">
        <v>40.53814304605482</v>
      </c>
      <c r="F430" s="1">
        <v>-111.91290315684751</v>
      </c>
      <c r="G430" s="4" t="str">
        <f>HYPERLINK(CONCATENATE("https://ee-faluhong.projects.earthengine.app/view/isp-ts-evaluation#id=429 2012-&gt;2013;lat=40.53814304605482;lon=-111.9129031568475;year=2012;bf=7;level=18;"), "landsat_time_series")</f>
        <v>landsat_time_series</v>
      </c>
      <c r="H430" s="4" t="str">
        <f>HYPERLINK(CONCATENATE("https://jstnbraaten.users.earthengine.app/view/landsat-timeseries-explorer#run=true;lon=-111.9129031568475;lat=40.53814304605482;from=01-01;to=12-31;index=NDVI;rgb=NIR%2FRED%2FGREEN;chipwidth=1;"), "landsat_chips")</f>
        <v>landsat_chips</v>
      </c>
      <c r="I430" s="4" t="str">
        <f>HYPERLINK(CONCATENATE("https://livingatlas.arcgis.com/wayback/#ext=-111.91390315684751,40.53914304605482,-111.9119031568475,40.53714304605482"), "wayback")</f>
        <v>wayback</v>
      </c>
      <c r="J430" s="9" t="s">
        <v>19</v>
      </c>
      <c r="L430" s="9" t="s">
        <v>24</v>
      </c>
      <c r="M430" s="9" t="s">
        <v>33</v>
      </c>
    </row>
    <row r="431" spans="1:13">
      <c r="A431" s="1" t="s">
        <v>13</v>
      </c>
      <c r="B431" s="1">
        <v>430</v>
      </c>
      <c r="C431" s="1">
        <v>2019</v>
      </c>
      <c r="D431" s="1">
        <v>2020</v>
      </c>
      <c r="E431" s="1">
        <v>41.188417478882073</v>
      </c>
      <c r="F431" s="1">
        <v>-82.322291906813206</v>
      </c>
      <c r="G431" s="4" t="str">
        <f>HYPERLINK(CONCATENATE("https://ee-faluhong.projects.earthengine.app/view/isp-ts-evaluation#id=430 2019-&gt;2020;lat=41.18841747888207;lon=-82.3222919068132;year=2019;bf=7;level=18;"), "landsat_time_series")</f>
        <v>landsat_time_series</v>
      </c>
      <c r="H431" s="4" t="str">
        <f>HYPERLINK(CONCATENATE("https://jstnbraaten.users.earthengine.app/view/landsat-timeseries-explorer#run=true;lon=-82.3222919068132;lat=41.18841747888207;from=01-01;to=12-31;index=NDVI;rgb=NIR%2FRED%2FGREEN;chipwidth=1;"), "landsat_chips")</f>
        <v>landsat_chips</v>
      </c>
      <c r="I431" s="4" t="str">
        <f>HYPERLINK(CONCATENATE("https://livingatlas.arcgis.com/wayback/#ext=-82.32329190681321,41.18941747888207,-82.3212919068132,41.187417478882075"), "wayback")</f>
        <v>wayback</v>
      </c>
      <c r="J431" s="9" t="s">
        <v>19</v>
      </c>
      <c r="L431" s="9" t="s">
        <v>15</v>
      </c>
      <c r="M431" s="9" t="s">
        <v>18</v>
      </c>
    </row>
    <row r="432" spans="1:13">
      <c r="A432" s="1" t="s">
        <v>13</v>
      </c>
      <c r="B432" s="1">
        <v>431</v>
      </c>
      <c r="C432" s="1">
        <v>2004</v>
      </c>
      <c r="D432" s="1">
        <v>2005</v>
      </c>
      <c r="E432" s="1">
        <v>33.151951009335747</v>
      </c>
      <c r="F432" s="1">
        <v>-111.4448672188759</v>
      </c>
      <c r="G432" s="4" t="str">
        <f>HYPERLINK(CONCATENATE("https://ee-faluhong.projects.earthengine.app/view/isp-ts-evaluation#id=431 2004-&gt;2005;lat=33.15195100933575;lon=-111.4448672188759;year=2004;bf=7;level=18;"), "landsat_time_series")</f>
        <v>landsat_time_series</v>
      </c>
      <c r="H432" s="4" t="str">
        <f>HYPERLINK(CONCATENATE("https://jstnbraaten.users.earthengine.app/view/landsat-timeseries-explorer#run=true;lon=-111.4448672188759;lat=33.15195100933575;from=01-01;to=12-31;index=NDVI;rgb=NIR%2FRED%2FGREEN;chipwidth=1;"), "landsat_chips")</f>
        <v>landsat_chips</v>
      </c>
      <c r="I432" s="4" t="str">
        <f>HYPERLINK(CONCATENATE("https://livingatlas.arcgis.com/wayback/#ext=-111.4458672188759,33.152951009335744,-111.4438672188759,33.15095100933575"), "wayback")</f>
        <v>wayback</v>
      </c>
      <c r="J432" s="9" t="s">
        <v>21</v>
      </c>
      <c r="L432" s="9" t="s">
        <v>15</v>
      </c>
      <c r="M432" s="9" t="s">
        <v>16</v>
      </c>
    </row>
    <row r="433" spans="1:13">
      <c r="A433" s="1" t="s">
        <v>13</v>
      </c>
      <c r="B433" s="1">
        <v>432</v>
      </c>
      <c r="C433" s="1">
        <v>2004</v>
      </c>
      <c r="D433" s="1">
        <v>2005</v>
      </c>
      <c r="E433" s="1">
        <v>30.63512944668388</v>
      </c>
      <c r="F433" s="1">
        <v>-82.052326005222454</v>
      </c>
      <c r="G433" s="4" t="str">
        <f>HYPERLINK(CONCATENATE("https://ee-faluhong.projects.earthengine.app/view/isp-ts-evaluation#id=432 2004-&gt;2005;lat=30.63512944668388;lon=-82.05232600522245;year=2004;bf=7;level=18;"), "landsat_time_series")</f>
        <v>landsat_time_series</v>
      </c>
      <c r="H433" s="4" t="str">
        <f>HYPERLINK(CONCATENATE("https://jstnbraaten.users.earthengine.app/view/landsat-timeseries-explorer#run=true;lon=-82.05232600522245;lat=30.63512944668388;from=01-01;to=12-31;index=NDVI;rgb=NIR%2FRED%2FGREEN;chipwidth=1;"), "landsat_chips")</f>
        <v>landsat_chips</v>
      </c>
      <c r="I433" s="4" t="str">
        <f>HYPERLINK(CONCATENATE("https://livingatlas.arcgis.com/wayback/#ext=-82.05332600522246,30.63612944668388,-82.05132600522245,30.63412944668388"), "wayback")</f>
        <v>wayback</v>
      </c>
      <c r="J433" s="9" t="s">
        <v>25</v>
      </c>
      <c r="K433" s="9" t="s">
        <v>26</v>
      </c>
      <c r="L433" s="9" t="s">
        <v>24</v>
      </c>
      <c r="M433" s="9" t="s">
        <v>111</v>
      </c>
    </row>
    <row r="434" spans="1:13">
      <c r="A434" s="1" t="s">
        <v>13</v>
      </c>
      <c r="B434" s="1">
        <v>433</v>
      </c>
      <c r="C434" s="1">
        <v>2000</v>
      </c>
      <c r="D434" s="1">
        <v>2001</v>
      </c>
      <c r="E434" s="1">
        <v>26.395307160815349</v>
      </c>
      <c r="F434" s="1">
        <v>-81.259091851570048</v>
      </c>
      <c r="G434" s="4" t="str">
        <f>HYPERLINK(CONCATENATE("https://ee-faluhong.projects.earthengine.app/view/isp-ts-evaluation#id=433 2000-&gt;2001;lat=26.39530716081535;lon=-81.25909185157005;year=2000;bf=7;level=18;"), "landsat_time_series")</f>
        <v>landsat_time_series</v>
      </c>
      <c r="H434" s="4" t="str">
        <f>HYPERLINK(CONCATENATE("https://jstnbraaten.users.earthengine.app/view/landsat-timeseries-explorer#run=true;lon=-81.25909185157005;lat=26.39530716081535;from=01-01;to=12-31;index=NDVI;rgb=NIR%2FRED%2FGREEN;chipwidth=1;"), "landsat_chips")</f>
        <v>landsat_chips</v>
      </c>
      <c r="I434" s="4" t="str">
        <f>HYPERLINK(CONCATENATE("https://livingatlas.arcgis.com/wayback/#ext=-81.26009185157005,26.39630716081535,-81.25809185157004,26.394307160815348"), "wayback")</f>
        <v>wayback</v>
      </c>
      <c r="J434" s="9" t="s">
        <v>19</v>
      </c>
      <c r="L434" s="9" t="s">
        <v>15</v>
      </c>
      <c r="M434" s="9" t="s">
        <v>99</v>
      </c>
    </row>
    <row r="435" spans="1:13">
      <c r="A435" s="1" t="s">
        <v>13</v>
      </c>
      <c r="B435" s="1">
        <v>434</v>
      </c>
      <c r="C435" s="1">
        <v>2016</v>
      </c>
      <c r="D435" s="1">
        <v>2017</v>
      </c>
      <c r="E435" s="1">
        <v>35.699785450839222</v>
      </c>
      <c r="F435" s="1">
        <v>-97.371391799860774</v>
      </c>
      <c r="G435" s="4" t="str">
        <f>HYPERLINK(CONCATENATE("https://ee-faluhong.projects.earthengine.app/view/isp-ts-evaluation#id=434 2016-&gt;2017;lat=35.69978545083922;lon=-97.37139179986077;year=2016;bf=7;level=18;"), "landsat_time_series")</f>
        <v>landsat_time_series</v>
      </c>
      <c r="H435" s="4" t="str">
        <f>HYPERLINK(CONCATENATE("https://jstnbraaten.users.earthengine.app/view/landsat-timeseries-explorer#run=true;lon=-97.37139179986077;lat=35.69978545083922;from=01-01;to=12-31;index=NDVI;rgb=NIR%2FRED%2FGREEN;chipwidth=1;"), "landsat_chips")</f>
        <v>landsat_chips</v>
      </c>
      <c r="I435" s="4" t="str">
        <f>HYPERLINK(CONCATENATE("https://livingatlas.arcgis.com/wayback/#ext=-97.37239179986078,35.70078545083922,-97.37039179986077,35.698785450839225"), "wayback")</f>
        <v>wayback</v>
      </c>
      <c r="J435" s="9" t="s">
        <v>25</v>
      </c>
      <c r="K435" s="9" t="s">
        <v>26</v>
      </c>
      <c r="L435" s="9" t="s">
        <v>24</v>
      </c>
      <c r="M435" s="9" t="s">
        <v>112</v>
      </c>
    </row>
    <row r="436" spans="1:13">
      <c r="A436" s="1" t="s">
        <v>13</v>
      </c>
      <c r="B436" s="1">
        <v>435</v>
      </c>
      <c r="C436" s="1">
        <v>2018</v>
      </c>
      <c r="D436" s="1">
        <v>2019</v>
      </c>
      <c r="E436" s="1">
        <v>45.061496994047253</v>
      </c>
      <c r="F436" s="1">
        <v>-84.116428566438202</v>
      </c>
      <c r="G436" s="4" t="str">
        <f>HYPERLINK(CONCATENATE("https://ee-faluhong.projects.earthengine.app/view/isp-ts-evaluation#id=435 2018-&gt;2019;lat=45.06149699404725;lon=-84.1164285664382;year=2018;bf=7;level=18;"), "landsat_time_series")</f>
        <v>landsat_time_series</v>
      </c>
      <c r="H436" s="4" t="str">
        <f>HYPERLINK(CONCATENATE("https://jstnbraaten.users.earthengine.app/view/landsat-timeseries-explorer#run=true;lon=-84.1164285664382;lat=45.06149699404725;from=01-01;to=12-31;index=NDVI;rgb=NIR%2FRED%2FGREEN;chipwidth=1;"), "landsat_chips")</f>
        <v>landsat_chips</v>
      </c>
      <c r="I436" s="4" t="str">
        <f>HYPERLINK(CONCATENATE("https://livingatlas.arcgis.com/wayback/#ext=-84.1174285664382,45.06249699404725,-84.1154285664382,45.060496994047256"), "wayback")</f>
        <v>wayback</v>
      </c>
      <c r="J436" s="9" t="s">
        <v>19</v>
      </c>
      <c r="L436" s="9" t="s">
        <v>15</v>
      </c>
      <c r="M436" s="9" t="s">
        <v>20</v>
      </c>
    </row>
    <row r="437" spans="1:13">
      <c r="A437" s="1" t="s">
        <v>13</v>
      </c>
      <c r="B437" s="1">
        <v>436</v>
      </c>
      <c r="C437" s="1">
        <v>2003</v>
      </c>
      <c r="D437" s="1">
        <v>2004</v>
      </c>
      <c r="E437" s="1">
        <v>33.438788695121588</v>
      </c>
      <c r="F437" s="1">
        <v>-91.648242385692114</v>
      </c>
      <c r="G437" s="4" t="str">
        <f>HYPERLINK(CONCATENATE("https://ee-faluhong.projects.earthengine.app/view/isp-ts-evaluation#id=436 2003-&gt;2004;lat=33.43878869512159;lon=-91.64824238569211;year=2003;bf=7;level=18;"), "landsat_time_series")</f>
        <v>landsat_time_series</v>
      </c>
      <c r="H437" s="4" t="str">
        <f>HYPERLINK(CONCATENATE("https://jstnbraaten.users.earthengine.app/view/landsat-timeseries-explorer#run=true;lon=-91.64824238569211;lat=33.43878869512159;from=01-01;to=12-31;index=NDVI;rgb=NIR%2FRED%2FGREEN;chipwidth=1;"), "landsat_chips")</f>
        <v>landsat_chips</v>
      </c>
      <c r="I437" s="4" t="str">
        <f>HYPERLINK(CONCATENATE("https://livingatlas.arcgis.com/wayback/#ext=-91.64924238569212,33.439788695121585,-91.64724238569211,33.43778869512159"), "wayback")</f>
        <v>wayback</v>
      </c>
      <c r="J437" s="9" t="s">
        <v>25</v>
      </c>
      <c r="K437" s="9" t="s">
        <v>26</v>
      </c>
      <c r="L437" s="9" t="s">
        <v>15</v>
      </c>
      <c r="M437" s="9" t="s">
        <v>18</v>
      </c>
    </row>
    <row r="438" spans="1:13">
      <c r="A438" s="1" t="s">
        <v>13</v>
      </c>
      <c r="B438" s="1">
        <v>437</v>
      </c>
      <c r="C438" s="1">
        <v>2006</v>
      </c>
      <c r="D438" s="1">
        <v>2007</v>
      </c>
      <c r="E438" s="1">
        <v>30.391615669183349</v>
      </c>
      <c r="F438" s="1">
        <v>-91.05705047430645</v>
      </c>
      <c r="G438" s="4" t="str">
        <f>HYPERLINK(CONCATENATE("https://ee-faluhong.projects.earthengine.app/view/isp-ts-evaluation#id=437 2006-&gt;2007;lat=30.39161566918335;lon=-91.05705047430645;year=2006;bf=7;level=18;"), "landsat_time_series")</f>
        <v>landsat_time_series</v>
      </c>
      <c r="H438" s="4" t="str">
        <f>HYPERLINK(CONCATENATE("https://jstnbraaten.users.earthengine.app/view/landsat-timeseries-explorer#run=true;lon=-91.05705047430645;lat=30.39161566918335;from=01-01;to=12-31;index=NDVI;rgb=NIR%2FRED%2FGREEN;chipwidth=1;"), "landsat_chips")</f>
        <v>landsat_chips</v>
      </c>
      <c r="I438" s="4" t="str">
        <f>HYPERLINK(CONCATENATE("https://livingatlas.arcgis.com/wayback/#ext=-91.05805047430646,30.39261566918335,-91.05605047430645,30.390615669183347"), "wayback")</f>
        <v>wayback</v>
      </c>
      <c r="J438" s="9" t="s">
        <v>19</v>
      </c>
      <c r="L438" s="9" t="s">
        <v>15</v>
      </c>
      <c r="M438" s="9" t="s">
        <v>97</v>
      </c>
    </row>
    <row r="439" spans="1:13">
      <c r="A439" s="1" t="s">
        <v>13</v>
      </c>
      <c r="B439" s="1">
        <v>438</v>
      </c>
      <c r="C439" s="1">
        <v>2008</v>
      </c>
      <c r="D439" s="1">
        <v>2009</v>
      </c>
      <c r="E439" s="1">
        <v>32.428771648572571</v>
      </c>
      <c r="F439" s="1">
        <v>-82.749543234708881</v>
      </c>
      <c r="G439" s="4" t="str">
        <f>HYPERLINK(CONCATENATE("https://ee-faluhong.projects.earthengine.app/view/isp-ts-evaluation#id=438 2008-&gt;2009;lat=32.42877164857257;lon=-82.74954323470888;year=2008;bf=7;level=18;"), "landsat_time_series")</f>
        <v>landsat_time_series</v>
      </c>
      <c r="H439" s="4" t="str">
        <f>HYPERLINK(CONCATENATE("https://jstnbraaten.users.earthengine.app/view/landsat-timeseries-explorer#run=true;lon=-82.74954323470888;lat=32.42877164857257;from=01-01;to=12-31;index=NDVI;rgb=NIR%2FRED%2FGREEN;chipwidth=1;"), "landsat_chips")</f>
        <v>landsat_chips</v>
      </c>
      <c r="I439" s="4" t="str">
        <f>HYPERLINK(CONCATENATE("https://livingatlas.arcgis.com/wayback/#ext=-82.75054323470889,32.42977164857257,-82.74854323470888,32.42777164857257"), "wayback")</f>
        <v>wayback</v>
      </c>
      <c r="J439" s="9" t="s">
        <v>17</v>
      </c>
      <c r="L439" s="9" t="s">
        <v>15</v>
      </c>
      <c r="M439" s="9" t="s">
        <v>18</v>
      </c>
    </row>
    <row r="440" spans="1:13">
      <c r="A440" s="1" t="s">
        <v>13</v>
      </c>
      <c r="B440" s="1">
        <v>439</v>
      </c>
      <c r="C440" s="1">
        <v>2012</v>
      </c>
      <c r="D440" s="1">
        <v>2013</v>
      </c>
      <c r="E440" s="1">
        <v>42.219705052738497</v>
      </c>
      <c r="F440" s="1">
        <v>-123.06099580408591</v>
      </c>
      <c r="G440" s="4" t="str">
        <f>HYPERLINK(CONCATENATE("https://ee-faluhong.projects.earthengine.app/view/isp-ts-evaluation#id=439 2012-&gt;2013;lat=42.2197050527385;lon=-123.0609958040859;year=2012;bf=7;level=18;"), "landsat_time_series")</f>
        <v>landsat_time_series</v>
      </c>
      <c r="H440" s="4" t="str">
        <f>HYPERLINK(CONCATENATE("https://jstnbraaten.users.earthengine.app/view/landsat-timeseries-explorer#run=true;lon=-123.0609958040859;lat=42.2197050527385;from=01-01;to=12-31;index=NDVI;rgb=NIR%2FRED%2FGREEN;chipwidth=1;"), "landsat_chips")</f>
        <v>landsat_chips</v>
      </c>
      <c r="I440" s="4" t="str">
        <f>HYPERLINK(CONCATENATE("https://livingatlas.arcgis.com/wayback/#ext=-123.06199580408591,42.220705052738495,-123.0599958040859,42.2187050527385"), "wayback")</f>
        <v>wayback</v>
      </c>
      <c r="J440" s="9" t="s">
        <v>19</v>
      </c>
      <c r="L440" s="9" t="s">
        <v>15</v>
      </c>
      <c r="M440" s="9" t="s">
        <v>99</v>
      </c>
    </row>
    <row r="441" spans="1:13">
      <c r="A441" s="1" t="s">
        <v>13</v>
      </c>
      <c r="B441" s="1">
        <v>440</v>
      </c>
      <c r="C441" s="1">
        <v>2005</v>
      </c>
      <c r="D441" s="1">
        <v>2006</v>
      </c>
      <c r="E441" s="1">
        <v>41.004139717446968</v>
      </c>
      <c r="F441" s="1">
        <v>-111.8950113234509</v>
      </c>
      <c r="G441" s="4" t="str">
        <f>HYPERLINK(CONCATENATE("https://ee-faluhong.projects.earthengine.app/view/isp-ts-evaluation#id=440 2005-&gt;2006;lat=41.00413971744697;lon=-111.8950113234509;year=2005;bf=7;level=18;"), "landsat_time_series")</f>
        <v>landsat_time_series</v>
      </c>
      <c r="H441" s="4" t="str">
        <f>HYPERLINK(CONCATENATE("https://jstnbraaten.users.earthengine.app/view/landsat-timeseries-explorer#run=true;lon=-111.8950113234509;lat=41.00413971744697;from=01-01;to=12-31;index=NDVI;rgb=NIR%2FRED%2FGREEN;chipwidth=1;"), "landsat_chips")</f>
        <v>landsat_chips</v>
      </c>
      <c r="I441" s="4" t="str">
        <f>HYPERLINK(CONCATENATE("https://livingatlas.arcgis.com/wayback/#ext=-111.8960113234509,41.005139717446966,-111.8940113234509,41.00313971744697"), "wayback")</f>
        <v>wayback</v>
      </c>
      <c r="J441" s="9" t="s">
        <v>14</v>
      </c>
      <c r="L441" s="9" t="s">
        <v>15</v>
      </c>
      <c r="M441" s="9" t="s">
        <v>16</v>
      </c>
    </row>
    <row r="442" spans="1:13">
      <c r="A442" s="1" t="s">
        <v>13</v>
      </c>
      <c r="B442" s="1">
        <v>441</v>
      </c>
      <c r="C442" s="1">
        <v>2017</v>
      </c>
      <c r="D442" s="1">
        <v>2018</v>
      </c>
      <c r="E442" s="1">
        <v>43.090259225178293</v>
      </c>
      <c r="F442" s="1">
        <v>-75.062813761856745</v>
      </c>
      <c r="G442" s="4" t="str">
        <f>HYPERLINK(CONCATENATE("https://ee-faluhong.projects.earthengine.app/view/isp-ts-evaluation#id=441 2017-&gt;2018;lat=43.09025922517829;lon=-75.06281376185675;year=2017;bf=7;level=18;"), "landsat_time_series")</f>
        <v>landsat_time_series</v>
      </c>
      <c r="H442" s="4" t="str">
        <f>HYPERLINK(CONCATENATE("https://jstnbraaten.users.earthengine.app/view/landsat-timeseries-explorer#run=true;lon=-75.06281376185675;lat=43.09025922517829;from=01-01;to=12-31;index=NDVI;rgb=NIR%2FRED%2FGREEN;chipwidth=1;"), "landsat_chips")</f>
        <v>landsat_chips</v>
      </c>
      <c r="I442" s="4" t="str">
        <f>HYPERLINK(CONCATENATE("https://livingatlas.arcgis.com/wayback/#ext=-75.06381376185675,43.09125922517829,-75.06181376185674,43.089259225178296"), "wayback")</f>
        <v>wayback</v>
      </c>
      <c r="J442" s="9" t="s">
        <v>19</v>
      </c>
      <c r="L442" s="9" t="s">
        <v>15</v>
      </c>
      <c r="M442" s="9" t="s">
        <v>20</v>
      </c>
    </row>
    <row r="443" spans="1:13">
      <c r="A443" s="1" t="s">
        <v>13</v>
      </c>
      <c r="B443" s="1">
        <v>442</v>
      </c>
      <c r="C443" s="1">
        <v>2016</v>
      </c>
      <c r="D443" s="1">
        <v>2017</v>
      </c>
      <c r="E443" s="1">
        <v>42.127813664661808</v>
      </c>
      <c r="F443" s="1">
        <v>-104.1317416493527</v>
      </c>
      <c r="G443" s="4" t="str">
        <f>HYPERLINK(CONCATENATE("https://ee-faluhong.projects.earthengine.app/view/isp-ts-evaluation#id=442 2016-&gt;2017;lat=42.12781366466181;lon=-104.1317416493527;year=2016;bf=7;level=18;"), "landsat_time_series")</f>
        <v>landsat_time_series</v>
      </c>
      <c r="H443" s="4" t="str">
        <f>HYPERLINK(CONCATENATE("https://jstnbraaten.users.earthengine.app/view/landsat-timeseries-explorer#run=true;lon=-104.1317416493527;lat=42.12781366466181;from=01-01;to=12-31;index=NDVI;rgb=NIR%2FRED%2FGREEN;chipwidth=1;"), "landsat_chips")</f>
        <v>landsat_chips</v>
      </c>
      <c r="I443" s="4" t="str">
        <f>HYPERLINK(CONCATENATE("https://livingatlas.arcgis.com/wayback/#ext=-104.13274164935271,42.128813664661806,-104.1307416493527,42.12681366466181"), "wayback")</f>
        <v>wayback</v>
      </c>
      <c r="J443" s="9" t="s">
        <v>19</v>
      </c>
      <c r="L443" s="9" t="s">
        <v>15</v>
      </c>
      <c r="M443" s="9" t="s">
        <v>33</v>
      </c>
    </row>
    <row r="444" spans="1:13">
      <c r="A444" s="1" t="s">
        <v>13</v>
      </c>
      <c r="B444" s="1">
        <v>443</v>
      </c>
      <c r="C444" s="1">
        <v>2017</v>
      </c>
      <c r="D444" s="1">
        <v>2018</v>
      </c>
      <c r="E444" s="1">
        <v>36.267195164145463</v>
      </c>
      <c r="F444" s="1">
        <v>-94.468668456144755</v>
      </c>
      <c r="G444" s="4" t="str">
        <f>HYPERLINK(CONCATENATE("https://ee-faluhong.projects.earthengine.app/view/isp-ts-evaluation#id=443 2017-&gt;2018;lat=36.26719516414546;lon=-94.46866845614475;year=2017;bf=7;level=18;"), "landsat_time_series")</f>
        <v>landsat_time_series</v>
      </c>
      <c r="H444" s="4" t="str">
        <f>HYPERLINK(CONCATENATE("https://jstnbraaten.users.earthengine.app/view/landsat-timeseries-explorer#run=true;lon=-94.46866845614475;lat=36.26719516414546;from=01-01;to=12-31;index=NDVI;rgb=NIR%2FRED%2FGREEN;chipwidth=1;"), "landsat_chips")</f>
        <v>landsat_chips</v>
      </c>
      <c r="I444" s="4" t="str">
        <f>HYPERLINK(CONCATENATE("https://livingatlas.arcgis.com/wayback/#ext=-94.46966845614476,36.26819516414546,-94.46766845614475,36.266195164145465"), "wayback")</f>
        <v>wayback</v>
      </c>
      <c r="J444" s="9" t="s">
        <v>17</v>
      </c>
      <c r="L444" s="9" t="s">
        <v>15</v>
      </c>
      <c r="M444" s="9" t="s">
        <v>18</v>
      </c>
    </row>
    <row r="445" spans="1:13">
      <c r="A445" s="1" t="s">
        <v>13</v>
      </c>
      <c r="B445" s="1">
        <v>444</v>
      </c>
      <c r="C445" s="1">
        <v>2000</v>
      </c>
      <c r="D445" s="1">
        <v>2001</v>
      </c>
      <c r="E445" s="1">
        <v>41.719418623998322</v>
      </c>
      <c r="F445" s="1">
        <v>-72.97106223572635</v>
      </c>
      <c r="G445" s="4" t="str">
        <f>HYPERLINK(CONCATENATE("https://ee-faluhong.projects.earthengine.app/view/isp-ts-evaluation#id=444 2000-&gt;2001;lat=41.71941862399832;lon=-72.97106223572635;year=2000;bf=7;level=18;"), "landsat_time_series")</f>
        <v>landsat_time_series</v>
      </c>
      <c r="H445" s="4" t="str">
        <f>HYPERLINK(CONCATENATE("https://jstnbraaten.users.earthengine.app/view/landsat-timeseries-explorer#run=true;lon=-72.97106223572635;lat=41.71941862399832;from=01-01;to=12-31;index=NDVI;rgb=NIR%2FRED%2FGREEN;chipwidth=1;"), "landsat_chips")</f>
        <v>landsat_chips</v>
      </c>
      <c r="I445" s="4" t="str">
        <f>HYPERLINK(CONCATENATE("https://livingatlas.arcgis.com/wayback/#ext=-72.97206223572636,41.72041862399832,-72.97006223572635,41.718418623998325"), "wayback")</f>
        <v>wayback</v>
      </c>
      <c r="J445" s="9" t="s">
        <v>34</v>
      </c>
      <c r="M445" s="9" t="s">
        <v>32</v>
      </c>
    </row>
    <row r="446" spans="1:13">
      <c r="A446" s="1" t="s">
        <v>13</v>
      </c>
      <c r="B446" s="1">
        <v>445</v>
      </c>
      <c r="C446" s="1">
        <v>2015</v>
      </c>
      <c r="D446" s="1">
        <v>2016</v>
      </c>
      <c r="E446" s="1">
        <v>46.185729228835932</v>
      </c>
      <c r="F446" s="1">
        <v>-117.8207371143168</v>
      </c>
      <c r="G446" s="4" t="str">
        <f>HYPERLINK(CONCATENATE("https://ee-faluhong.projects.earthengine.app/view/isp-ts-evaluation#id=445 2015-&gt;2016;lat=46.18572922883593;lon=-117.8207371143168;year=2015;bf=7;level=18;"), "landsat_time_series")</f>
        <v>landsat_time_series</v>
      </c>
      <c r="H446" s="4" t="str">
        <f>HYPERLINK(CONCATENATE("https://jstnbraaten.users.earthengine.app/view/landsat-timeseries-explorer#run=true;lon=-117.8207371143168;lat=46.18572922883593;from=01-01;to=12-31;index=NDVI;rgb=NIR%2FRED%2FGREEN;chipwidth=1;"), "landsat_chips")</f>
        <v>landsat_chips</v>
      </c>
      <c r="I446" s="4" t="str">
        <f>HYPERLINK(CONCATENATE("https://livingatlas.arcgis.com/wayback/#ext=-117.8217371143168,46.18672922883593,-117.8197371143168,46.184729228835934"), "wayback")</f>
        <v>wayback</v>
      </c>
      <c r="J446" s="9" t="s">
        <v>17</v>
      </c>
      <c r="L446" s="9" t="s">
        <v>15</v>
      </c>
      <c r="M446" s="9" t="s">
        <v>36</v>
      </c>
    </row>
    <row r="447" spans="1:13">
      <c r="A447" s="1" t="s">
        <v>13</v>
      </c>
      <c r="B447" s="1">
        <v>446</v>
      </c>
      <c r="C447" s="1">
        <v>2009</v>
      </c>
      <c r="D447" s="1">
        <v>2010</v>
      </c>
      <c r="E447" s="1">
        <v>38.917749041584827</v>
      </c>
      <c r="F447" s="1">
        <v>-114.80443537937759</v>
      </c>
      <c r="G447" s="4" t="str">
        <f>HYPERLINK(CONCATENATE("https://ee-faluhong.projects.earthengine.app/view/isp-ts-evaluation#id=446 2009-&gt;2010;lat=38.91774904158483;lon=-114.8044353793776;year=2009;bf=7;level=18;"), "landsat_time_series")</f>
        <v>landsat_time_series</v>
      </c>
      <c r="H447" s="4" t="str">
        <f>HYPERLINK(CONCATENATE("https://jstnbraaten.users.earthengine.app/view/landsat-timeseries-explorer#run=true;lon=-114.8044353793776;lat=38.91774904158483;from=01-01;to=12-31;index=NDVI;rgb=NIR%2FRED%2FGREEN;chipwidth=1;"), "landsat_chips")</f>
        <v>landsat_chips</v>
      </c>
      <c r="I447" s="4" t="str">
        <f>HYPERLINK(CONCATENATE("https://livingatlas.arcgis.com/wayback/#ext=-114.8054353793776,38.918749041584825,-114.80343537937759,38.91674904158483"), "wayback")</f>
        <v>wayback</v>
      </c>
      <c r="J447" s="9" t="s">
        <v>19</v>
      </c>
      <c r="L447" s="9" t="s">
        <v>15</v>
      </c>
      <c r="M447" s="9" t="s">
        <v>28</v>
      </c>
    </row>
    <row r="448" spans="1:13">
      <c r="A448" s="1" t="s">
        <v>13</v>
      </c>
      <c r="B448" s="1">
        <v>447</v>
      </c>
      <c r="C448" s="1">
        <v>2010</v>
      </c>
      <c r="D448" s="1">
        <v>2011</v>
      </c>
      <c r="E448" s="1">
        <v>33.521959161100582</v>
      </c>
      <c r="F448" s="1">
        <v>-86.584876598787602</v>
      </c>
      <c r="G448" s="4" t="str">
        <f>HYPERLINK(CONCATENATE("https://ee-faluhong.projects.earthengine.app/view/isp-ts-evaluation#id=447 2010-&gt;2011;lat=33.52195916110058;lon=-86.5848765987876;year=2010;bf=7;level=18;"), "landsat_time_series")</f>
        <v>landsat_time_series</v>
      </c>
      <c r="H448" s="4" t="str">
        <f>HYPERLINK(CONCATENATE("https://jstnbraaten.users.earthengine.app/view/landsat-timeseries-explorer#run=true;lon=-86.5848765987876;lat=33.52195916110058;from=01-01;to=12-31;index=NDVI;rgb=NIR%2FRED%2FGREEN;chipwidth=1;"), "landsat_chips")</f>
        <v>landsat_chips</v>
      </c>
      <c r="I448" s="4" t="str">
        <f>HYPERLINK(CONCATENATE("https://livingatlas.arcgis.com/wayback/#ext=-86.5858765987876,33.52295916110058,-86.5838765987876,33.520959161100585"), "wayback")</f>
        <v>wayback</v>
      </c>
      <c r="J448" s="9" t="s">
        <v>14</v>
      </c>
      <c r="L448" s="9" t="s">
        <v>15</v>
      </c>
      <c r="M448" s="9" t="s">
        <v>16</v>
      </c>
    </row>
    <row r="449" spans="1:13">
      <c r="A449" s="1" t="s">
        <v>13</v>
      </c>
      <c r="B449" s="1">
        <v>448</v>
      </c>
      <c r="C449" s="1">
        <v>2004</v>
      </c>
      <c r="D449" s="1">
        <v>2005</v>
      </c>
      <c r="E449" s="1">
        <v>41.561557034073523</v>
      </c>
      <c r="F449" s="1">
        <v>-110.0691612803912</v>
      </c>
      <c r="G449" s="4" t="str">
        <f>HYPERLINK(CONCATENATE("https://ee-faluhong.projects.earthengine.app/view/isp-ts-evaluation#id=448 2004-&gt;2005;lat=41.56155703407352;lon=-110.0691612803912;year=2004;bf=7;level=18;"), "landsat_time_series")</f>
        <v>landsat_time_series</v>
      </c>
      <c r="H449" s="4" t="str">
        <f>HYPERLINK(CONCATENATE("https://jstnbraaten.users.earthengine.app/view/landsat-timeseries-explorer#run=true;lon=-110.0691612803912;lat=41.56155703407352;from=01-01;to=12-31;index=NDVI;rgb=NIR%2FRED%2FGREEN;chipwidth=1;"), "landsat_chips")</f>
        <v>landsat_chips</v>
      </c>
      <c r="I449" s="4" t="str">
        <f>HYPERLINK(CONCATENATE("https://livingatlas.arcgis.com/wayback/#ext=-110.0701612803912,41.56255703407352,-110.0681612803912,41.560557034073526"), "wayback")</f>
        <v>wayback</v>
      </c>
      <c r="J449" s="9" t="s">
        <v>19</v>
      </c>
      <c r="L449" s="9" t="s">
        <v>15</v>
      </c>
      <c r="M449" s="9" t="s">
        <v>28</v>
      </c>
    </row>
    <row r="450" spans="1:13">
      <c r="A450" s="1" t="s">
        <v>13</v>
      </c>
      <c r="B450" s="1">
        <v>449</v>
      </c>
      <c r="C450" s="1">
        <v>2002</v>
      </c>
      <c r="D450" s="1">
        <v>2003</v>
      </c>
      <c r="E450" s="1">
        <v>31.554692761601419</v>
      </c>
      <c r="F450" s="1">
        <v>-81.892092617963783</v>
      </c>
      <c r="G450" s="4" t="str">
        <f>HYPERLINK(CONCATENATE("https://ee-faluhong.projects.earthengine.app/view/isp-ts-evaluation#id=449 2002-&gt;2003;lat=31.55469276160142;lon=-81.89209261796378;year=2002;bf=7;level=18;"), "landsat_time_series")</f>
        <v>landsat_time_series</v>
      </c>
      <c r="H450" s="4" t="str">
        <f>HYPERLINK(CONCATENATE("https://jstnbraaten.users.earthengine.app/view/landsat-timeseries-explorer#run=true;lon=-81.89209261796378;lat=31.55469276160142;from=01-01;to=12-31;index=NDVI;rgb=NIR%2FRED%2FGREEN;chipwidth=1;"), "landsat_chips")</f>
        <v>landsat_chips</v>
      </c>
      <c r="I450" s="4" t="str">
        <f>HYPERLINK(CONCATENATE("https://livingatlas.arcgis.com/wayback/#ext=-81.89309261796379,31.55569276160142,-81.89109261796378,31.55369276160142"), "wayback")</f>
        <v>wayback</v>
      </c>
      <c r="J450" s="9" t="s">
        <v>19</v>
      </c>
      <c r="L450" s="9" t="s">
        <v>15</v>
      </c>
      <c r="M450" s="9" t="s">
        <v>113</v>
      </c>
    </row>
    <row r="451" spans="1:13">
      <c r="A451" s="1" t="s">
        <v>13</v>
      </c>
      <c r="B451" s="1">
        <v>450</v>
      </c>
      <c r="C451" s="1">
        <v>2000</v>
      </c>
      <c r="D451" s="1">
        <v>2001</v>
      </c>
      <c r="E451" s="1">
        <v>41.794661535624002</v>
      </c>
      <c r="F451" s="1">
        <v>-71.344513095557033</v>
      </c>
      <c r="G451" s="4" t="str">
        <f>HYPERLINK(CONCATENATE("https://ee-faluhong.projects.earthengine.app/view/isp-ts-evaluation#id=450 2000-&gt;2001;lat=41.794661535624;lon=-71.34451309555703;year=2000;bf=7;level=18;"), "landsat_time_series")</f>
        <v>landsat_time_series</v>
      </c>
      <c r="H451" s="4" t="str">
        <f>HYPERLINK(CONCATENATE("https://jstnbraaten.users.earthengine.app/view/landsat-timeseries-explorer#run=true;lon=-71.34451309555703;lat=41.794661535624;from=01-01;to=12-31;index=NDVI;rgb=NIR%2FRED%2FGREEN;chipwidth=1;"), "landsat_chips")</f>
        <v>landsat_chips</v>
      </c>
      <c r="I451" s="4" t="str">
        <f>HYPERLINK(CONCATENATE("https://livingatlas.arcgis.com/wayback/#ext=-71.34551309555704,41.795661535624,-71.34351309555703,41.793661535624004"), "wayback")</f>
        <v>wayback</v>
      </c>
      <c r="J451" s="9" t="s">
        <v>19</v>
      </c>
      <c r="L451" s="9" t="s">
        <v>15</v>
      </c>
      <c r="M451" s="9" t="s">
        <v>18</v>
      </c>
    </row>
    <row r="452" spans="1:13">
      <c r="A452" s="1" t="s">
        <v>13</v>
      </c>
      <c r="B452" s="1">
        <v>451</v>
      </c>
      <c r="C452" s="1">
        <v>2012</v>
      </c>
      <c r="D452" s="1">
        <v>2013</v>
      </c>
      <c r="E452" s="1">
        <v>44.32651589711643</v>
      </c>
      <c r="F452" s="1">
        <v>-104.5669812025245</v>
      </c>
      <c r="G452" s="4" t="str">
        <f>HYPERLINK(CONCATENATE("https://ee-faluhong.projects.earthengine.app/view/isp-ts-evaluation#id=451 2012-&gt;2013;lat=44.32651589711643;lon=-104.5669812025245;year=2012;bf=7;level=18;"), "landsat_time_series")</f>
        <v>landsat_time_series</v>
      </c>
      <c r="H452" s="4" t="str">
        <f>HYPERLINK(CONCATENATE("https://jstnbraaten.users.earthengine.app/view/landsat-timeseries-explorer#run=true;lon=-104.5669812025245;lat=44.32651589711643;from=01-01;to=12-31;index=NDVI;rgb=NIR%2FRED%2FGREEN;chipwidth=1;"), "landsat_chips")</f>
        <v>landsat_chips</v>
      </c>
      <c r="I452" s="4" t="str">
        <f>HYPERLINK(CONCATENATE("https://livingatlas.arcgis.com/wayback/#ext=-104.5679812025245,44.32751589711643,-104.5659812025245,44.32551589711643"), "wayback")</f>
        <v>wayback</v>
      </c>
      <c r="J452" s="9" t="s">
        <v>25</v>
      </c>
      <c r="K452" s="9" t="s">
        <v>26</v>
      </c>
      <c r="L452" s="9" t="s">
        <v>15</v>
      </c>
      <c r="M452" s="9" t="s">
        <v>18</v>
      </c>
    </row>
    <row r="453" spans="1:13">
      <c r="A453" s="1" t="s">
        <v>13</v>
      </c>
      <c r="B453" s="1">
        <v>452</v>
      </c>
      <c r="C453" s="1">
        <v>2000</v>
      </c>
      <c r="D453" s="1">
        <v>2001</v>
      </c>
      <c r="E453" s="1">
        <v>34.253789742355153</v>
      </c>
      <c r="F453" s="1">
        <v>-92.210072026274688</v>
      </c>
      <c r="G453" s="4" t="str">
        <f>HYPERLINK(CONCATENATE("https://ee-faluhong.projects.earthengine.app/view/isp-ts-evaluation#id=452 2000-&gt;2001;lat=34.25378974235515;lon=-92.21007202627469;year=2000;bf=7;level=18;"), "landsat_time_series")</f>
        <v>landsat_time_series</v>
      </c>
      <c r="H453" s="4" t="str">
        <f>HYPERLINK(CONCATENATE("https://jstnbraaten.users.earthengine.app/view/landsat-timeseries-explorer#run=true;lon=-92.21007202627469;lat=34.25378974235515;from=01-01;to=12-31;index=NDVI;rgb=NIR%2FRED%2FGREEN;chipwidth=1;"), "landsat_chips")</f>
        <v>landsat_chips</v>
      </c>
      <c r="I453" s="4" t="str">
        <f>HYPERLINK(CONCATENATE("https://livingatlas.arcgis.com/wayback/#ext=-92.21107202627469,34.25478974235515,-92.20907202627468,34.252789742355155"), "wayback")</f>
        <v>wayback</v>
      </c>
      <c r="J453" s="9" t="s">
        <v>25</v>
      </c>
      <c r="K453" s="9" t="s">
        <v>26</v>
      </c>
      <c r="L453" s="9" t="s">
        <v>15</v>
      </c>
      <c r="M453" s="9" t="s">
        <v>18</v>
      </c>
    </row>
    <row r="454" spans="1:13">
      <c r="A454" s="1" t="s">
        <v>13</v>
      </c>
      <c r="B454" s="1">
        <v>453</v>
      </c>
      <c r="C454" s="1">
        <v>2016</v>
      </c>
      <c r="D454" s="1">
        <v>2017</v>
      </c>
      <c r="E454" s="1">
        <v>35.251376171758579</v>
      </c>
      <c r="F454" s="1">
        <v>-115.99984943094771</v>
      </c>
      <c r="G454" s="4" t="str">
        <f>HYPERLINK(CONCATENATE("https://ee-faluhong.projects.earthengine.app/view/isp-ts-evaluation#id=453 2016-&gt;2017;lat=35.25137617175858;lon=-115.9998494309477;year=2016;bf=7;level=18;"), "landsat_time_series")</f>
        <v>landsat_time_series</v>
      </c>
      <c r="H454" s="4" t="str">
        <f>HYPERLINK(CONCATENATE("https://jstnbraaten.users.earthengine.app/view/landsat-timeseries-explorer#run=true;lon=-115.9998494309477;lat=35.25137617175858;from=01-01;to=12-31;index=NDVI;rgb=NIR%2FRED%2FGREEN;chipwidth=1;"), "landsat_chips")</f>
        <v>landsat_chips</v>
      </c>
      <c r="I454" s="4" t="str">
        <f>HYPERLINK(CONCATENATE("https://livingatlas.arcgis.com/wayback/#ext=-116.00084943094771,35.25237617175858,-115.9988494309477,35.25037617175858"), "wayback")</f>
        <v>wayback</v>
      </c>
      <c r="J454" s="9" t="s">
        <v>19</v>
      </c>
      <c r="L454" s="9" t="s">
        <v>15</v>
      </c>
      <c r="M454" s="9" t="s">
        <v>28</v>
      </c>
    </row>
    <row r="455" spans="1:13">
      <c r="A455" s="1" t="s">
        <v>13</v>
      </c>
      <c r="B455" s="1">
        <v>454</v>
      </c>
      <c r="C455" s="1">
        <v>2019</v>
      </c>
      <c r="D455" s="1">
        <v>2020</v>
      </c>
      <c r="E455" s="1">
        <v>41.761935149375567</v>
      </c>
      <c r="F455" s="1">
        <v>-71.470949690714946</v>
      </c>
      <c r="G455" s="4" t="str">
        <f>HYPERLINK(CONCATENATE("https://ee-faluhong.projects.earthengine.app/view/isp-ts-evaluation#id=454 2019-&gt;2020;lat=41.76193514937557;lon=-71.47094969071495;year=2019;bf=7;level=18;"), "landsat_time_series")</f>
        <v>landsat_time_series</v>
      </c>
      <c r="H455" s="4" t="str">
        <f>HYPERLINK(CONCATENATE("https://jstnbraaten.users.earthengine.app/view/landsat-timeseries-explorer#run=true;lon=-71.47094969071495;lat=41.76193514937557;from=01-01;to=12-31;index=NDVI;rgb=NIR%2FRED%2FGREEN;chipwidth=1;"), "landsat_chips")</f>
        <v>landsat_chips</v>
      </c>
      <c r="I455" s="4" t="str">
        <f>HYPERLINK(CONCATENATE("https://livingatlas.arcgis.com/wayback/#ext=-71.47194969071495,41.762935149375565,-71.46994969071494,41.76093514937557"), "wayback")</f>
        <v>wayback</v>
      </c>
      <c r="J455" s="9" t="s">
        <v>25</v>
      </c>
      <c r="K455" s="9" t="s">
        <v>26</v>
      </c>
      <c r="M455" s="9" t="s">
        <v>32</v>
      </c>
    </row>
    <row r="456" spans="1:13">
      <c r="A456" s="1" t="s">
        <v>13</v>
      </c>
      <c r="B456" s="1">
        <v>455</v>
      </c>
      <c r="C456" s="1">
        <v>2012</v>
      </c>
      <c r="D456" s="1">
        <v>2013</v>
      </c>
      <c r="E456" s="1">
        <v>30.633462742736651</v>
      </c>
      <c r="F456" s="1">
        <v>-93.299269191522171</v>
      </c>
      <c r="G456" s="4" t="str">
        <f>HYPERLINK(CONCATENATE("https://ee-faluhong.projects.earthengine.app/view/isp-ts-evaluation#id=455 2012-&gt;2013;lat=30.63346274273665;lon=-93.29926919152217;year=2012;bf=7;level=18;"), "landsat_time_series")</f>
        <v>landsat_time_series</v>
      </c>
      <c r="H456" s="4" t="str">
        <f>HYPERLINK(CONCATENATE("https://jstnbraaten.users.earthengine.app/view/landsat-timeseries-explorer#run=true;lon=-93.29926919152217;lat=30.63346274273665;from=01-01;to=12-31;index=NDVI;rgb=NIR%2FRED%2FGREEN;chipwidth=1;"), "landsat_chips")</f>
        <v>landsat_chips</v>
      </c>
      <c r="I456" s="4" t="str">
        <f>HYPERLINK(CONCATENATE("https://livingatlas.arcgis.com/wayback/#ext=-93.30026919152218,30.634462742736652,-93.29826919152217,30.63246274273665"), "wayback")</f>
        <v>wayback</v>
      </c>
      <c r="J456" s="9" t="s">
        <v>25</v>
      </c>
      <c r="K456" s="9" t="s">
        <v>26</v>
      </c>
      <c r="L456" s="9" t="s">
        <v>15</v>
      </c>
      <c r="M456" s="9" t="s">
        <v>18</v>
      </c>
    </row>
    <row r="457" spans="1:13">
      <c r="A457" s="1" t="s">
        <v>13</v>
      </c>
      <c r="B457" s="1">
        <v>456</v>
      </c>
      <c r="C457" s="1">
        <v>2000</v>
      </c>
      <c r="D457" s="1">
        <v>2001</v>
      </c>
      <c r="E457" s="1">
        <v>33.30337609351497</v>
      </c>
      <c r="F457" s="1">
        <v>-97.48331604166097</v>
      </c>
      <c r="G457" s="4" t="str">
        <f>HYPERLINK(CONCATENATE("https://ee-faluhong.projects.earthengine.app/view/isp-ts-evaluation#id=456 2000-&gt;2001;lat=33.30337609351497;lon=-97.48331604166097;year=2000;bf=7;level=18;"), "landsat_time_series")</f>
        <v>landsat_time_series</v>
      </c>
      <c r="H457" s="4" t="str">
        <f>HYPERLINK(CONCATENATE("https://jstnbraaten.users.earthengine.app/view/landsat-timeseries-explorer#run=true;lon=-97.48331604166097;lat=33.30337609351497;from=01-01;to=12-31;index=NDVI;rgb=NIR%2FRED%2FGREEN;chipwidth=1;"), "landsat_chips")</f>
        <v>landsat_chips</v>
      </c>
      <c r="I457" s="4" t="str">
        <f>HYPERLINK(CONCATENATE("https://livingatlas.arcgis.com/wayback/#ext=-97.48431604166097,33.30437609351497,-97.48231604166097,33.30237609351497"), "wayback")</f>
        <v>wayback</v>
      </c>
      <c r="J457" s="9" t="s">
        <v>19</v>
      </c>
      <c r="L457" s="9" t="s">
        <v>15</v>
      </c>
      <c r="M457" s="9" t="s">
        <v>33</v>
      </c>
    </row>
    <row r="458" spans="1:13">
      <c r="A458" s="1" t="s">
        <v>13</v>
      </c>
      <c r="B458" s="1">
        <v>457</v>
      </c>
      <c r="C458" s="1">
        <v>2009</v>
      </c>
      <c r="D458" s="1">
        <v>2010</v>
      </c>
      <c r="E458" s="1">
        <v>34.159097856812927</v>
      </c>
      <c r="F458" s="1">
        <v>-118.7578563509267</v>
      </c>
      <c r="G458" s="4" t="str">
        <f>HYPERLINK(CONCATENATE("https://ee-faluhong.projects.earthengine.app/view/isp-ts-evaluation#id=457 2009-&gt;2010;lat=34.15909785681293;lon=-118.7578563509267;year=2009;bf=7;level=18;"), "landsat_time_series")</f>
        <v>landsat_time_series</v>
      </c>
      <c r="H458" s="4" t="str">
        <f>HYPERLINK(CONCATENATE("https://jstnbraaten.users.earthengine.app/view/landsat-timeseries-explorer#run=true;lon=-118.7578563509267;lat=34.15909785681293;from=01-01;to=12-31;index=NDVI;rgb=NIR%2FRED%2FGREEN;chipwidth=1;"), "landsat_chips")</f>
        <v>landsat_chips</v>
      </c>
      <c r="I458" s="4" t="str">
        <f>HYPERLINK(CONCATENATE("https://livingatlas.arcgis.com/wayback/#ext=-118.7588563509267,34.160097856812925,-118.7568563509267,34.15809785681293"), "wayback")</f>
        <v>wayback</v>
      </c>
      <c r="J458" s="9" t="s">
        <v>25</v>
      </c>
      <c r="K458" s="9" t="s">
        <v>26</v>
      </c>
      <c r="L458" s="9" t="s">
        <v>15</v>
      </c>
      <c r="M458" s="9" t="s">
        <v>97</v>
      </c>
    </row>
    <row r="459" spans="1:13">
      <c r="A459" s="1" t="s">
        <v>13</v>
      </c>
      <c r="B459" s="1">
        <v>458</v>
      </c>
      <c r="C459" s="1">
        <v>2009</v>
      </c>
      <c r="D459" s="1">
        <v>2010</v>
      </c>
      <c r="E459" s="1">
        <v>34.838656713087261</v>
      </c>
      <c r="F459" s="1">
        <v>-78.395679407353839</v>
      </c>
      <c r="G459" s="4" t="str">
        <f>HYPERLINK(CONCATENATE("https://ee-faluhong.projects.earthengine.app/view/isp-ts-evaluation#id=458 2009-&gt;2010;lat=34.83865671308726;lon=-78.39567940735384;year=2009;bf=7;level=18;"), "landsat_time_series")</f>
        <v>landsat_time_series</v>
      </c>
      <c r="H459" s="4" t="str">
        <f>HYPERLINK(CONCATENATE("https://jstnbraaten.users.earthengine.app/view/landsat-timeseries-explorer#run=true;lon=-78.39567940735384;lat=34.83865671308726;from=01-01;to=12-31;index=NDVI;rgb=NIR%2FRED%2FGREEN;chipwidth=1;"), "landsat_chips")</f>
        <v>landsat_chips</v>
      </c>
      <c r="I459" s="4" t="str">
        <f>HYPERLINK(CONCATENATE("https://livingatlas.arcgis.com/wayback/#ext=-78.39667940735384,34.83965671308726,-78.39467940735383,34.83765671308726"), "wayback")</f>
        <v>wayback</v>
      </c>
      <c r="J459" s="9" t="s">
        <v>19</v>
      </c>
      <c r="L459" s="9" t="s">
        <v>15</v>
      </c>
      <c r="M459" s="9" t="s">
        <v>18</v>
      </c>
    </row>
    <row r="460" spans="1:13">
      <c r="A460" s="1" t="s">
        <v>13</v>
      </c>
      <c r="B460" s="1">
        <v>459</v>
      </c>
      <c r="C460" s="1">
        <v>2002</v>
      </c>
      <c r="D460" s="1">
        <v>2003</v>
      </c>
      <c r="E460" s="1">
        <v>30.59412447983259</v>
      </c>
      <c r="F460" s="1">
        <v>-91.026288096490802</v>
      </c>
      <c r="G460" s="4" t="str">
        <f>HYPERLINK(CONCATENATE("https://ee-faluhong.projects.earthengine.app/view/isp-ts-evaluation#id=459 2002-&gt;2003;lat=30.59412447983259;lon=-91.0262880964908;year=2002;bf=7;level=18;"), "landsat_time_series")</f>
        <v>landsat_time_series</v>
      </c>
      <c r="H460" s="4" t="str">
        <f>HYPERLINK(CONCATENATE("https://jstnbraaten.users.earthengine.app/view/landsat-timeseries-explorer#run=true;lon=-91.0262880964908;lat=30.59412447983259;from=01-01;to=12-31;index=NDVI;rgb=NIR%2FRED%2FGREEN;chipwidth=1;"), "landsat_chips")</f>
        <v>landsat_chips</v>
      </c>
      <c r="I460" s="4" t="str">
        <f>HYPERLINK(CONCATENATE("https://livingatlas.arcgis.com/wayback/#ext=-91.0272880964908,30.59512447983259,-91.0252880964908,30.59312447983259"), "wayback")</f>
        <v>wayback</v>
      </c>
      <c r="J460" s="9" t="s">
        <v>17</v>
      </c>
      <c r="L460" s="9" t="s">
        <v>15</v>
      </c>
      <c r="M460" s="9" t="s">
        <v>36</v>
      </c>
    </row>
    <row r="461" spans="1:13">
      <c r="A461" s="1" t="s">
        <v>13</v>
      </c>
      <c r="B461" s="1">
        <v>460</v>
      </c>
      <c r="C461" s="1">
        <v>2000</v>
      </c>
      <c r="D461" s="1">
        <v>2001</v>
      </c>
      <c r="E461" s="1">
        <v>43.423226647536069</v>
      </c>
      <c r="F461" s="1">
        <v>-91.388709795971295</v>
      </c>
      <c r="G461" s="4" t="str">
        <f>HYPERLINK(CONCATENATE("https://ee-faluhong.projects.earthengine.app/view/isp-ts-evaluation#id=460 2000-&gt;2001;lat=43.42322664753607;lon=-91.3887097959713;year=2000;bf=7;level=18;"), "landsat_time_series")</f>
        <v>landsat_time_series</v>
      </c>
      <c r="H461" s="4" t="str">
        <f>HYPERLINK(CONCATENATE("https://jstnbraaten.users.earthengine.app/view/landsat-timeseries-explorer#run=true;lon=-91.3887097959713;lat=43.42322664753607;from=01-01;to=12-31;index=NDVI;rgb=NIR%2FRED%2FGREEN;chipwidth=1;"), "landsat_chips")</f>
        <v>landsat_chips</v>
      </c>
      <c r="I461" s="4" t="str">
        <f>HYPERLINK(CONCATENATE("https://livingatlas.arcgis.com/wayback/#ext=-91.3897097959713,43.42422664753607,-91.38770979597129,43.42222664753607"), "wayback")</f>
        <v>wayback</v>
      </c>
      <c r="J461" s="9" t="s">
        <v>19</v>
      </c>
      <c r="L461" s="9" t="s">
        <v>15</v>
      </c>
      <c r="M461" s="9" t="s">
        <v>20</v>
      </c>
    </row>
    <row r="462" spans="1:13">
      <c r="A462" s="1" t="s">
        <v>13</v>
      </c>
      <c r="B462" s="1">
        <v>461</v>
      </c>
      <c r="C462" s="1">
        <v>2004</v>
      </c>
      <c r="D462" s="1">
        <v>2005</v>
      </c>
      <c r="E462" s="1">
        <v>30.580176455649951</v>
      </c>
      <c r="F462" s="1">
        <v>-82.015176957759664</v>
      </c>
      <c r="G462" s="4" t="str">
        <f>HYPERLINK(CONCATENATE("https://ee-faluhong.projects.earthengine.app/view/isp-ts-evaluation#id=461 2004-&gt;2005;lat=30.58017645564995;lon=-82.01517695775966;year=2004;bf=7;level=18;"), "landsat_time_series")</f>
        <v>landsat_time_series</v>
      </c>
      <c r="H462" s="4" t="str">
        <f>HYPERLINK(CONCATENATE("https://jstnbraaten.users.earthengine.app/view/landsat-timeseries-explorer#run=true;lon=-82.01517695775966;lat=30.58017645564995;from=01-01;to=12-31;index=NDVI;rgb=NIR%2FRED%2FGREEN;chipwidth=1;"), "landsat_chips")</f>
        <v>landsat_chips</v>
      </c>
      <c r="I462" s="4" t="str">
        <f>HYPERLINK(CONCATENATE("https://livingatlas.arcgis.com/wayback/#ext=-82.01617695775967,30.581176455649953,-82.01417695775966,30.57917645564995"), "wayback")</f>
        <v>wayback</v>
      </c>
      <c r="J462" s="9" t="s">
        <v>19</v>
      </c>
      <c r="L462" s="9" t="s">
        <v>15</v>
      </c>
      <c r="M462" s="9" t="s">
        <v>20</v>
      </c>
    </row>
    <row r="463" spans="1:13">
      <c r="A463" s="1" t="s">
        <v>13</v>
      </c>
      <c r="B463" s="1">
        <v>462</v>
      </c>
      <c r="C463" s="1">
        <v>2014</v>
      </c>
      <c r="D463" s="1">
        <v>2015</v>
      </c>
      <c r="E463" s="1">
        <v>37.326143091930653</v>
      </c>
      <c r="F463" s="1">
        <v>-79.25170689756726</v>
      </c>
      <c r="G463" s="4" t="str">
        <f>HYPERLINK(CONCATENATE("https://ee-faluhong.projects.earthengine.app/view/isp-ts-evaluation#id=462 2014-&gt;2015;lat=37.32614309193065;lon=-79.25170689756726;year=2014;bf=7;level=18;"), "landsat_time_series")</f>
        <v>landsat_time_series</v>
      </c>
      <c r="H463" s="4" t="str">
        <f>HYPERLINK(CONCATENATE("https://jstnbraaten.users.earthengine.app/view/landsat-timeseries-explorer#run=true;lon=-79.25170689756726;lat=37.32614309193065;from=01-01;to=12-31;index=NDVI;rgb=NIR%2FRED%2FGREEN;chipwidth=1;"), "landsat_chips")</f>
        <v>landsat_chips</v>
      </c>
      <c r="I463" s="4" t="str">
        <f>HYPERLINK(CONCATENATE("https://livingatlas.arcgis.com/wayback/#ext=-79.25270689756726,37.32714309193065,-79.25070689756726,37.325143091930656"), "wayback")</f>
        <v>wayback</v>
      </c>
      <c r="J463" s="9" t="s">
        <v>25</v>
      </c>
      <c r="K463" s="9" t="s">
        <v>26</v>
      </c>
      <c r="L463" s="9" t="s">
        <v>15</v>
      </c>
      <c r="M463" s="9" t="s">
        <v>114</v>
      </c>
    </row>
    <row r="464" spans="1:13">
      <c r="A464" s="1" t="s">
        <v>13</v>
      </c>
      <c r="B464" s="1">
        <v>463</v>
      </c>
      <c r="C464" s="1">
        <v>2016</v>
      </c>
      <c r="D464" s="1">
        <v>2017</v>
      </c>
      <c r="E464" s="1">
        <v>30.895954323219549</v>
      </c>
      <c r="F464" s="1">
        <v>-95.785704045187472</v>
      </c>
      <c r="G464" s="4" t="str">
        <f>HYPERLINK(CONCATENATE("https://ee-faluhong.projects.earthengine.app/view/isp-ts-evaluation#id=463 2016-&gt;2017;lat=30.89595432321955;lon=-95.78570404518747;year=2016;bf=7;level=18;"), "landsat_time_series")</f>
        <v>landsat_time_series</v>
      </c>
      <c r="H464" s="4" t="str">
        <f>HYPERLINK(CONCATENATE("https://jstnbraaten.users.earthengine.app/view/landsat-timeseries-explorer#run=true;lon=-95.78570404518747;lat=30.89595432321955;from=01-01;to=12-31;index=NDVI;rgb=NIR%2FRED%2FGREEN;chipwidth=1;"), "landsat_chips")</f>
        <v>landsat_chips</v>
      </c>
      <c r="I464" s="4" t="str">
        <f>HYPERLINK(CONCATENATE("https://livingatlas.arcgis.com/wayback/#ext=-95.78670404518748,30.89695432321955,-95.78470404518747,30.894954323219547"), "wayback")</f>
        <v>wayback</v>
      </c>
      <c r="J464" s="9" t="s">
        <v>19</v>
      </c>
      <c r="L464" s="9" t="s">
        <v>15</v>
      </c>
      <c r="M464" s="9" t="s">
        <v>18</v>
      </c>
    </row>
    <row r="465" spans="1:13">
      <c r="A465" s="1" t="s">
        <v>13</v>
      </c>
      <c r="B465" s="1">
        <v>464</v>
      </c>
      <c r="C465" s="1">
        <v>2000</v>
      </c>
      <c r="D465" s="1">
        <v>2001</v>
      </c>
      <c r="E465" s="1">
        <v>46.499896347909072</v>
      </c>
      <c r="F465" s="1">
        <v>-112.6019897615775</v>
      </c>
      <c r="G465" s="4" t="str">
        <f>HYPERLINK(CONCATENATE("https://ee-faluhong.projects.earthengine.app/view/isp-ts-evaluation#id=464 2000-&gt;2001;lat=46.49989634790907;lon=-112.6019897615775;year=2000;bf=7;level=18;"), "landsat_time_series")</f>
        <v>landsat_time_series</v>
      </c>
      <c r="H465" s="4" t="str">
        <f>HYPERLINK(CONCATENATE("https://jstnbraaten.users.earthengine.app/view/landsat-timeseries-explorer#run=true;lon=-112.6019897615775;lat=46.49989634790907;from=01-01;to=12-31;index=NDVI;rgb=NIR%2FRED%2FGREEN;chipwidth=1;"), "landsat_chips")</f>
        <v>landsat_chips</v>
      </c>
      <c r="I465" s="4" t="str">
        <f>HYPERLINK(CONCATENATE("https://livingatlas.arcgis.com/wayback/#ext=-112.6029897615775,46.50089634790907,-112.6009897615775,46.498896347909074"), "wayback")</f>
        <v>wayback</v>
      </c>
      <c r="J465" s="9" t="s">
        <v>19</v>
      </c>
      <c r="L465" s="9" t="s">
        <v>15</v>
      </c>
      <c r="M465" s="9" t="s">
        <v>33</v>
      </c>
    </row>
    <row r="466" spans="1:13">
      <c r="A466" s="1" t="s">
        <v>13</v>
      </c>
      <c r="B466" s="1">
        <v>465</v>
      </c>
      <c r="C466" s="1">
        <v>2018</v>
      </c>
      <c r="D466" s="1">
        <v>2019</v>
      </c>
      <c r="E466" s="1">
        <v>38.592692546932241</v>
      </c>
      <c r="F466" s="1">
        <v>-107.980630812195</v>
      </c>
      <c r="G466" s="4" t="str">
        <f>HYPERLINK(CONCATENATE("https://ee-faluhong.projects.earthengine.app/view/isp-ts-evaluation#id=465 2018-&gt;2019;lat=38.59269254693224;lon=-107.980630812195;year=2018;bf=7;level=18;"), "landsat_time_series")</f>
        <v>landsat_time_series</v>
      </c>
      <c r="H466" s="4" t="str">
        <f>HYPERLINK(CONCATENATE("https://jstnbraaten.users.earthengine.app/view/landsat-timeseries-explorer#run=true;lon=-107.980630812195;lat=38.59269254693224;from=01-01;to=12-31;index=NDVI;rgb=NIR%2FRED%2FGREEN;chipwidth=1;"), "landsat_chips")</f>
        <v>landsat_chips</v>
      </c>
      <c r="I466" s="4" t="str">
        <f>HYPERLINK(CONCATENATE("https://livingatlas.arcgis.com/wayback/#ext=-107.98163081219501,38.59369254693224,-107.979630812195,38.591692546932244"), "wayback")</f>
        <v>wayback</v>
      </c>
      <c r="J466" s="9" t="s">
        <v>19</v>
      </c>
      <c r="L466" s="9" t="s">
        <v>24</v>
      </c>
      <c r="M466" s="9" t="s">
        <v>99</v>
      </c>
    </row>
    <row r="467" spans="1:13">
      <c r="A467" s="1" t="s">
        <v>13</v>
      </c>
      <c r="B467" s="1">
        <v>466</v>
      </c>
      <c r="C467" s="1">
        <v>2013</v>
      </c>
      <c r="D467" s="1">
        <v>2014</v>
      </c>
      <c r="E467" s="1">
        <v>31.695377665818508</v>
      </c>
      <c r="F467" s="1">
        <v>-89.144867850390099</v>
      </c>
      <c r="G467" s="4" t="str">
        <f>HYPERLINK(CONCATENATE("https://ee-faluhong.projects.earthengine.app/view/isp-ts-evaluation#id=466 2013-&gt;2014;lat=31.69537766581851;lon=-89.1448678503901;year=2013;bf=7;level=18;"), "landsat_time_series")</f>
        <v>landsat_time_series</v>
      </c>
      <c r="H467" s="4" t="str">
        <f>HYPERLINK(CONCATENATE("https://jstnbraaten.users.earthengine.app/view/landsat-timeseries-explorer#run=true;lon=-89.1448678503901;lat=31.69537766581851;from=01-01;to=12-31;index=NDVI;rgb=NIR%2FRED%2FGREEN;chipwidth=1;"), "landsat_chips")</f>
        <v>landsat_chips</v>
      </c>
      <c r="I467" s="4" t="str">
        <f>HYPERLINK(CONCATENATE("https://livingatlas.arcgis.com/wayback/#ext=-89.1458678503901,31.69637766581851,-89.1438678503901,31.694377665818507"), "wayback")</f>
        <v>wayback</v>
      </c>
      <c r="J467" s="9" t="s">
        <v>25</v>
      </c>
      <c r="K467" s="9" t="s">
        <v>26</v>
      </c>
      <c r="L467" s="9" t="s">
        <v>15</v>
      </c>
      <c r="M467" s="9" t="s">
        <v>97</v>
      </c>
    </row>
    <row r="468" spans="1:13">
      <c r="A468" s="1" t="s">
        <v>13</v>
      </c>
      <c r="B468" s="1">
        <v>467</v>
      </c>
      <c r="C468" s="1">
        <v>2014</v>
      </c>
      <c r="D468" s="1">
        <v>2015</v>
      </c>
      <c r="E468" s="1">
        <v>33.824670027377373</v>
      </c>
      <c r="F468" s="1">
        <v>-118.2418853152875</v>
      </c>
      <c r="G468" s="4" t="str">
        <f>HYPERLINK(CONCATENATE("https://ee-faluhong.projects.earthengine.app/view/isp-ts-evaluation#id=467 2014-&gt;2015;lat=33.82467002737737;lon=-118.2418853152875;year=2014;bf=7;level=18;"), "landsat_time_series")</f>
        <v>landsat_time_series</v>
      </c>
      <c r="H468" s="4" t="str">
        <f>HYPERLINK(CONCATENATE("https://jstnbraaten.users.earthengine.app/view/landsat-timeseries-explorer#run=true;lon=-118.2418853152875;lat=33.82467002737737;from=01-01;to=12-31;index=NDVI;rgb=NIR%2FRED%2FGREEN;chipwidth=1;"), "landsat_chips")</f>
        <v>landsat_chips</v>
      </c>
      <c r="I468" s="4" t="str">
        <f>HYPERLINK(CONCATENATE("https://livingatlas.arcgis.com/wayback/#ext=-118.24288531528751,33.82567002737737,-118.2408853152875,33.823670027377375"), "wayback")</f>
        <v>wayback</v>
      </c>
      <c r="J468" s="9" t="s">
        <v>17</v>
      </c>
      <c r="L468" s="9" t="s">
        <v>15</v>
      </c>
      <c r="M468" s="9" t="s">
        <v>97</v>
      </c>
    </row>
    <row r="469" spans="1:13">
      <c r="A469" s="1" t="s">
        <v>13</v>
      </c>
      <c r="B469" s="1">
        <v>468</v>
      </c>
      <c r="C469" s="1">
        <v>2001</v>
      </c>
      <c r="D469" s="1">
        <v>2002</v>
      </c>
      <c r="E469" s="1">
        <v>36.549712639490927</v>
      </c>
      <c r="F469" s="1">
        <v>-119.25062371312001</v>
      </c>
      <c r="G469" s="4" t="str">
        <f>HYPERLINK(CONCATENATE("https://ee-faluhong.projects.earthengine.app/view/isp-ts-evaluation#id=468 2001-&gt;2002;lat=36.54971263949093;lon=-119.25062371312;year=2001;bf=7;level=18;"), "landsat_time_series")</f>
        <v>landsat_time_series</v>
      </c>
      <c r="H469" s="4" t="str">
        <f>HYPERLINK(CONCATENATE("https://jstnbraaten.users.earthengine.app/view/landsat-timeseries-explorer#run=true;lon=-119.25062371312;lat=36.54971263949093;from=01-01;to=12-31;index=NDVI;rgb=NIR%2FRED%2FGREEN;chipwidth=1;"), "landsat_chips")</f>
        <v>landsat_chips</v>
      </c>
      <c r="I469" s="4" t="str">
        <f>HYPERLINK(CONCATENATE("https://livingatlas.arcgis.com/wayback/#ext=-119.25162371312001,36.550712639490925,-119.24962371312,36.54871263949093"), "wayback")</f>
        <v>wayback</v>
      </c>
      <c r="J469" s="9" t="s">
        <v>27</v>
      </c>
      <c r="L469" s="9" t="s">
        <v>15</v>
      </c>
      <c r="M469" s="9" t="s">
        <v>18</v>
      </c>
    </row>
    <row r="470" spans="1:13">
      <c r="A470" s="1" t="s">
        <v>13</v>
      </c>
      <c r="B470" s="1">
        <v>469</v>
      </c>
      <c r="C470" s="1">
        <v>2013</v>
      </c>
      <c r="D470" s="1">
        <v>2014</v>
      </c>
      <c r="E470" s="1">
        <v>48.598675645610193</v>
      </c>
      <c r="F470" s="1">
        <v>-106.9868688636642</v>
      </c>
      <c r="G470" s="4" t="str">
        <f>HYPERLINK(CONCATENATE("https://ee-faluhong.projects.earthengine.app/view/isp-ts-evaluation#id=469 2013-&gt;2014;lat=48.59867564561019;lon=-106.9868688636642;year=2013;bf=7;level=18;"), "landsat_time_series")</f>
        <v>landsat_time_series</v>
      </c>
      <c r="H470" s="4" t="str">
        <f>HYPERLINK(CONCATENATE("https://jstnbraaten.users.earthengine.app/view/landsat-timeseries-explorer#run=true;lon=-106.9868688636642;lat=48.59867564561019;from=01-01;to=12-31;index=NDVI;rgb=NIR%2FRED%2FGREEN;chipwidth=1;"), "landsat_chips")</f>
        <v>landsat_chips</v>
      </c>
      <c r="I470" s="4" t="str">
        <f>HYPERLINK(CONCATENATE("https://livingatlas.arcgis.com/wayback/#ext=-106.9878688636642,48.59967564561019,-106.9858688636642,48.597675645610195"), "wayback")</f>
        <v>wayback</v>
      </c>
      <c r="J470" s="9" t="s">
        <v>19</v>
      </c>
      <c r="L470" s="9" t="s">
        <v>15</v>
      </c>
      <c r="M470" s="9" t="s">
        <v>33</v>
      </c>
    </row>
    <row r="471" spans="1:13">
      <c r="A471" s="1" t="s">
        <v>13</v>
      </c>
      <c r="B471" s="1">
        <v>470</v>
      </c>
      <c r="C471" s="1">
        <v>2008</v>
      </c>
      <c r="D471" s="1">
        <v>2009</v>
      </c>
      <c r="E471" s="1">
        <v>30.73648031813071</v>
      </c>
      <c r="F471" s="1">
        <v>-86.540811911498906</v>
      </c>
      <c r="G471" s="4" t="str">
        <f>HYPERLINK(CONCATENATE("https://ee-faluhong.projects.earthengine.app/view/isp-ts-evaluation#id=470 2008-&gt;2009;lat=30.73648031813071;lon=-86.5408119114989;year=2008;bf=7;level=18;"), "landsat_time_series")</f>
        <v>landsat_time_series</v>
      </c>
      <c r="H471" s="4" t="str">
        <f>HYPERLINK(CONCATENATE("https://jstnbraaten.users.earthengine.app/view/landsat-timeseries-explorer#run=true;lon=-86.5408119114989;lat=30.73648031813071;from=01-01;to=12-31;index=NDVI;rgb=NIR%2FRED%2FGREEN;chipwidth=1;"), "landsat_chips")</f>
        <v>landsat_chips</v>
      </c>
      <c r="I471" s="4" t="str">
        <f>HYPERLINK(CONCATENATE("https://livingatlas.arcgis.com/wayback/#ext=-86.54181191149891,30.73748031813071,-86.5398119114989,30.73548031813071"), "wayback")</f>
        <v>wayback</v>
      </c>
      <c r="J471" s="9" t="s">
        <v>21</v>
      </c>
      <c r="L471" s="9" t="s">
        <v>15</v>
      </c>
      <c r="M471" s="9" t="s">
        <v>85</v>
      </c>
    </row>
    <row r="472" spans="1:13">
      <c r="A472" s="1" t="s">
        <v>13</v>
      </c>
      <c r="B472" s="1">
        <v>471</v>
      </c>
      <c r="C472" s="1">
        <v>2013</v>
      </c>
      <c r="D472" s="1">
        <v>2014</v>
      </c>
      <c r="E472" s="1">
        <v>31.713285181261021</v>
      </c>
      <c r="F472" s="1">
        <v>-81.435513779141942</v>
      </c>
      <c r="G472" s="4" t="str">
        <f>HYPERLINK(CONCATENATE("https://ee-faluhong.projects.earthengine.app/view/isp-ts-evaluation#id=471 2013-&gt;2014;lat=31.71328518126102;lon=-81.43551377914194;year=2013;bf=7;level=18;"), "landsat_time_series")</f>
        <v>landsat_time_series</v>
      </c>
      <c r="H472" s="4" t="str">
        <f>HYPERLINK(CONCATENATE("https://jstnbraaten.users.earthengine.app/view/landsat-timeseries-explorer#run=true;lon=-81.43551377914194;lat=31.71328518126102;from=01-01;to=12-31;index=NDVI;rgb=NIR%2FRED%2FGREEN;chipwidth=1;"), "landsat_chips")</f>
        <v>landsat_chips</v>
      </c>
      <c r="I472" s="4" t="str">
        <f>HYPERLINK(CONCATENATE("https://livingatlas.arcgis.com/wayback/#ext=-81.43651377914195,31.714285181261022,-81.43451377914194,31.71228518126102"), "wayback")</f>
        <v>wayback</v>
      </c>
      <c r="J472" s="9" t="s">
        <v>25</v>
      </c>
      <c r="K472" s="9" t="s">
        <v>26</v>
      </c>
      <c r="L472" s="9" t="s">
        <v>15</v>
      </c>
      <c r="M472" s="9" t="s">
        <v>115</v>
      </c>
    </row>
    <row r="473" spans="1:13">
      <c r="A473" s="1" t="s">
        <v>13</v>
      </c>
      <c r="B473" s="1">
        <v>472</v>
      </c>
      <c r="C473" s="1">
        <v>2004</v>
      </c>
      <c r="D473" s="1">
        <v>2005</v>
      </c>
      <c r="E473" s="1">
        <v>40.787205979524813</v>
      </c>
      <c r="F473" s="1">
        <v>-115.32589972991011</v>
      </c>
      <c r="G473" s="4" t="str">
        <f>HYPERLINK(CONCATENATE("https://ee-faluhong.projects.earthengine.app/view/isp-ts-evaluation#id=472 2004-&gt;2005;lat=40.78720597952481;lon=-115.3258997299101;year=2004;bf=7;level=18;"), "landsat_time_series")</f>
        <v>landsat_time_series</v>
      </c>
      <c r="H473" s="4" t="str">
        <f>HYPERLINK(CONCATENATE("https://jstnbraaten.users.earthengine.app/view/landsat-timeseries-explorer#run=true;lon=-115.3258997299101;lat=40.78720597952481;from=01-01;to=12-31;index=NDVI;rgb=NIR%2FRED%2FGREEN;chipwidth=1;"), "landsat_chips")</f>
        <v>landsat_chips</v>
      </c>
      <c r="I473" s="4" t="str">
        <f>HYPERLINK(CONCATENATE("https://livingatlas.arcgis.com/wayback/#ext=-115.32689972991011,40.78820597952481,-115.3248997299101,40.786205979524816"), "wayback")</f>
        <v>wayback</v>
      </c>
      <c r="J473" s="9" t="s">
        <v>19</v>
      </c>
      <c r="L473" s="9" t="s">
        <v>15</v>
      </c>
      <c r="M473" s="9" t="s">
        <v>33</v>
      </c>
    </row>
    <row r="474" spans="1:13">
      <c r="A474" s="1" t="s">
        <v>13</v>
      </c>
      <c r="B474" s="1">
        <v>473</v>
      </c>
      <c r="C474" s="1">
        <v>2003</v>
      </c>
      <c r="D474" s="1">
        <v>2004</v>
      </c>
      <c r="E474" s="1">
        <v>42.571438741448851</v>
      </c>
      <c r="F474" s="1">
        <v>-93.211522141976971</v>
      </c>
      <c r="G474" s="4" t="str">
        <f>HYPERLINK(CONCATENATE("https://ee-faluhong.projects.earthengine.app/view/isp-ts-evaluation#id=473 2003-&gt;2004;lat=42.57143874144885;lon=-93.21152214197697;year=2003;bf=7;level=18;"), "landsat_time_series")</f>
        <v>landsat_time_series</v>
      </c>
      <c r="H474" s="4" t="str">
        <f>HYPERLINK(CONCATENATE("https://jstnbraaten.users.earthengine.app/view/landsat-timeseries-explorer#run=true;lon=-93.21152214197697;lat=42.57143874144885;from=01-01;to=12-31;index=NDVI;rgb=NIR%2FRED%2FGREEN;chipwidth=1;"), "landsat_chips")</f>
        <v>landsat_chips</v>
      </c>
      <c r="I474" s="4" t="str">
        <f>HYPERLINK(CONCATENATE("https://livingatlas.arcgis.com/wayback/#ext=-93.21252214197698,42.57243874144885,-93.21052214197697,42.570438741448854"), "wayback")</f>
        <v>wayback</v>
      </c>
      <c r="J474" s="9" t="s">
        <v>17</v>
      </c>
      <c r="L474" s="9" t="s">
        <v>15</v>
      </c>
      <c r="M474" s="9" t="s">
        <v>116</v>
      </c>
    </row>
    <row r="475" spans="1:13">
      <c r="A475" s="1" t="s">
        <v>13</v>
      </c>
      <c r="B475" s="1">
        <v>474</v>
      </c>
      <c r="C475" s="1">
        <v>2013</v>
      </c>
      <c r="D475" s="1">
        <v>2014</v>
      </c>
      <c r="E475" s="1">
        <v>30.380731625920951</v>
      </c>
      <c r="F475" s="1">
        <v>-82.962939216452639</v>
      </c>
      <c r="G475" s="4" t="str">
        <f>HYPERLINK(CONCATENATE("https://ee-faluhong.projects.earthengine.app/view/isp-ts-evaluation#id=474 2013-&gt;2014;lat=30.38073162592095;lon=-82.96293921645264;year=2013;bf=7;level=18;"), "landsat_time_series")</f>
        <v>landsat_time_series</v>
      </c>
      <c r="H475" s="4" t="str">
        <f>HYPERLINK(CONCATENATE("https://jstnbraaten.users.earthengine.app/view/landsat-timeseries-explorer#run=true;lon=-82.96293921645264;lat=30.38073162592095;from=01-01;to=12-31;index=NDVI;rgb=NIR%2FRED%2FGREEN;chipwidth=1;"), "landsat_chips")</f>
        <v>landsat_chips</v>
      </c>
      <c r="I475" s="4" t="str">
        <f>HYPERLINK(CONCATENATE("https://livingatlas.arcgis.com/wayback/#ext=-82.96393921645264,30.381731625920953,-82.96193921645263,30.37973162592095"), "wayback")</f>
        <v>wayback</v>
      </c>
      <c r="J475" s="9" t="s">
        <v>19</v>
      </c>
      <c r="L475" s="9" t="s">
        <v>15</v>
      </c>
      <c r="M475" s="9" t="s">
        <v>99</v>
      </c>
    </row>
    <row r="476" spans="1:13">
      <c r="A476" s="1" t="s">
        <v>13</v>
      </c>
      <c r="B476" s="1">
        <v>475</v>
      </c>
      <c r="C476" s="1">
        <v>2008</v>
      </c>
      <c r="D476" s="1">
        <v>2009</v>
      </c>
      <c r="E476" s="1">
        <v>29.090098883139909</v>
      </c>
      <c r="F476" s="1">
        <v>-97.311870041283171</v>
      </c>
      <c r="G476" s="4" t="str">
        <f>HYPERLINK(CONCATENATE("https://ee-faluhong.projects.earthengine.app/view/isp-ts-evaluation#id=475 2008-&gt;2009;lat=29.09009888313991;lon=-97.31187004128317;year=2008;bf=7;level=18;"), "landsat_time_series")</f>
        <v>landsat_time_series</v>
      </c>
      <c r="H476" s="4" t="str">
        <f>HYPERLINK(CONCATENATE("https://jstnbraaten.users.earthengine.app/view/landsat-timeseries-explorer#run=true;lon=-97.31187004128317;lat=29.09009888313991;from=01-01;to=12-31;index=NDVI;rgb=NIR%2FRED%2FGREEN;chipwidth=1;"), "landsat_chips")</f>
        <v>landsat_chips</v>
      </c>
      <c r="I476" s="4" t="str">
        <f>HYPERLINK(CONCATENATE("https://livingatlas.arcgis.com/wayback/#ext=-97.31287004128318,29.09109888313991,-97.31087004128317,29.089098883139908"), "wayback")</f>
        <v>wayback</v>
      </c>
      <c r="J476" s="9" t="s">
        <v>17</v>
      </c>
      <c r="L476" s="9" t="s">
        <v>15</v>
      </c>
      <c r="M476" s="9" t="s">
        <v>18</v>
      </c>
    </row>
    <row r="477" spans="1:13">
      <c r="A477" s="1" t="s">
        <v>13</v>
      </c>
      <c r="B477" s="1">
        <v>476</v>
      </c>
      <c r="C477" s="1">
        <v>2003</v>
      </c>
      <c r="D477" s="1">
        <v>2004</v>
      </c>
      <c r="E477" s="1">
        <v>36.498461800211913</v>
      </c>
      <c r="F477" s="1">
        <v>-77.159234804017316</v>
      </c>
      <c r="G477" s="4" t="str">
        <f>HYPERLINK(CONCATENATE("https://ee-faluhong.projects.earthengine.app/view/isp-ts-evaluation#id=476 2003-&gt;2004;lat=36.49846180021191;lon=-77.15923480401732;year=2003;bf=7;level=18;"), "landsat_time_series")</f>
        <v>landsat_time_series</v>
      </c>
      <c r="H477" s="4" t="str">
        <f>HYPERLINK(CONCATENATE("https://jstnbraaten.users.earthengine.app/view/landsat-timeseries-explorer#run=true;lon=-77.15923480401732;lat=36.49846180021191;from=01-01;to=12-31;index=NDVI;rgb=NIR%2FRED%2FGREEN;chipwidth=1;"), "landsat_chips")</f>
        <v>landsat_chips</v>
      </c>
      <c r="I477" s="4" t="str">
        <f>HYPERLINK(CONCATENATE("https://livingatlas.arcgis.com/wayback/#ext=-77.16023480401732,36.49946180021191,-77.15823480401731,36.497461800211916"), "wayback")</f>
        <v>wayback</v>
      </c>
      <c r="J477" s="9" t="s">
        <v>19</v>
      </c>
      <c r="L477" s="9" t="s">
        <v>15</v>
      </c>
      <c r="M477" s="9" t="s">
        <v>99</v>
      </c>
    </row>
    <row r="478" spans="1:13">
      <c r="A478" s="1" t="s">
        <v>13</v>
      </c>
      <c r="B478" s="1">
        <v>477</v>
      </c>
      <c r="C478" s="1">
        <v>2018</v>
      </c>
      <c r="D478" s="1">
        <v>2019</v>
      </c>
      <c r="E478" s="1">
        <v>30.87346579349823</v>
      </c>
      <c r="F478" s="1">
        <v>-84.176120894529888</v>
      </c>
      <c r="G478" s="4" t="str">
        <f>HYPERLINK(CONCATENATE("https://ee-faluhong.projects.earthengine.app/view/isp-ts-evaluation#id=477 2018-&gt;2019;lat=30.87346579349823;lon=-84.17612089452989;year=2018;bf=7;level=18;"), "landsat_time_series")</f>
        <v>landsat_time_series</v>
      </c>
      <c r="H478" s="4" t="str">
        <f>HYPERLINK(CONCATENATE("https://jstnbraaten.users.earthengine.app/view/landsat-timeseries-explorer#run=true;lon=-84.17612089452989;lat=30.87346579349823;from=01-01;to=12-31;index=NDVI;rgb=NIR%2FRED%2FGREEN;chipwidth=1;"), "landsat_chips")</f>
        <v>landsat_chips</v>
      </c>
      <c r="I478" s="4" t="str">
        <f>HYPERLINK(CONCATENATE("https://livingatlas.arcgis.com/wayback/#ext=-84.17712089452989,30.87446579349823,-84.17512089452988,30.87246579349823"), "wayback")</f>
        <v>wayback</v>
      </c>
      <c r="J478" s="9" t="s">
        <v>21</v>
      </c>
      <c r="L478" s="9" t="s">
        <v>24</v>
      </c>
      <c r="M478" s="9" t="s">
        <v>16</v>
      </c>
    </row>
    <row r="479" spans="1:13">
      <c r="A479" s="1" t="s">
        <v>13</v>
      </c>
      <c r="B479" s="1">
        <v>478</v>
      </c>
      <c r="C479" s="1">
        <v>2000</v>
      </c>
      <c r="D479" s="1">
        <v>2001</v>
      </c>
      <c r="E479" s="1">
        <v>27.02201639276208</v>
      </c>
      <c r="F479" s="1">
        <v>-81.258760923517812</v>
      </c>
      <c r="G479" s="4" t="str">
        <f>HYPERLINK(CONCATENATE("https://ee-faluhong.projects.earthengine.app/view/isp-ts-evaluation#id=478 2000-&gt;2001;lat=27.02201639276208;lon=-81.25876092351781;year=2000;bf=7;level=18;"), "landsat_time_series")</f>
        <v>landsat_time_series</v>
      </c>
      <c r="H479" s="4" t="str">
        <f>HYPERLINK(CONCATENATE("https://jstnbraaten.users.earthengine.app/view/landsat-timeseries-explorer#run=true;lon=-81.25876092351781;lat=27.02201639276208;from=01-01;to=12-31;index=NDVI;rgb=NIR%2FRED%2FGREEN;chipwidth=1;"), "landsat_chips")</f>
        <v>landsat_chips</v>
      </c>
      <c r="I479" s="4" t="str">
        <f>HYPERLINK(CONCATENATE("https://livingatlas.arcgis.com/wayback/#ext=-81.25976092351782,27.02301639276208,-81.25776092351781,27.02101639276208"), "wayback")</f>
        <v>wayback</v>
      </c>
      <c r="J479" s="9" t="s">
        <v>17</v>
      </c>
      <c r="L479" s="9" t="s">
        <v>15</v>
      </c>
      <c r="M479" s="9" t="s">
        <v>18</v>
      </c>
    </row>
    <row r="480" spans="1:13">
      <c r="A480" s="1" t="s">
        <v>13</v>
      </c>
      <c r="B480" s="1">
        <v>479</v>
      </c>
      <c r="C480" s="1">
        <v>2006</v>
      </c>
      <c r="D480" s="1">
        <v>2007</v>
      </c>
      <c r="E480" s="1">
        <v>39.289226683721452</v>
      </c>
      <c r="F480" s="1">
        <v>-84.332387888945476</v>
      </c>
      <c r="G480" s="4" t="str">
        <f>HYPERLINK(CONCATENATE("https://ee-faluhong.projects.earthengine.app/view/isp-ts-evaluation#id=479 2006-&gt;2007;lat=39.28922668372145;lon=-84.33238788894548;year=2006;bf=7;level=18;"), "landsat_time_series")</f>
        <v>landsat_time_series</v>
      </c>
      <c r="H480" s="4" t="str">
        <f>HYPERLINK(CONCATENATE("https://jstnbraaten.users.earthengine.app/view/landsat-timeseries-explorer#run=true;lon=-84.33238788894548;lat=39.28922668372145;from=01-01;to=12-31;index=NDVI;rgb=NIR%2FRED%2FGREEN;chipwidth=1;"), "landsat_chips")</f>
        <v>landsat_chips</v>
      </c>
      <c r="I480" s="4" t="str">
        <f>HYPERLINK(CONCATENATE("https://livingatlas.arcgis.com/wayback/#ext=-84.33338788894548,39.29022668372145,-84.33138788894547,39.288226683721454"), "wayback")</f>
        <v>wayback</v>
      </c>
      <c r="J480" s="9" t="s">
        <v>17</v>
      </c>
      <c r="M480" s="9" t="s">
        <v>32</v>
      </c>
    </row>
    <row r="481" spans="1:13">
      <c r="A481" s="1" t="s">
        <v>13</v>
      </c>
      <c r="B481" s="1">
        <v>480</v>
      </c>
      <c r="C481" s="1">
        <v>2001</v>
      </c>
      <c r="D481" s="1">
        <v>2002</v>
      </c>
      <c r="E481" s="1">
        <v>39.738679474610478</v>
      </c>
      <c r="F481" s="1">
        <v>-105.137978547356</v>
      </c>
      <c r="G481" s="4" t="str">
        <f>HYPERLINK(CONCATENATE("https://ee-faluhong.projects.earthengine.app/view/isp-ts-evaluation#id=480 2001-&gt;2002;lat=39.73867947461048;lon=-105.137978547356;year=2001;bf=7;level=18;"), "landsat_time_series")</f>
        <v>landsat_time_series</v>
      </c>
      <c r="H481" s="4" t="str">
        <f>HYPERLINK(CONCATENATE("https://jstnbraaten.users.earthengine.app/view/landsat-timeseries-explorer#run=true;lon=-105.137978547356;lat=39.73867947461048;from=01-01;to=12-31;index=NDVI;rgb=NIR%2FRED%2FGREEN;chipwidth=1;"), "landsat_chips")</f>
        <v>landsat_chips</v>
      </c>
      <c r="I481" s="4" t="str">
        <f>HYPERLINK(CONCATENATE("https://livingatlas.arcgis.com/wayback/#ext=-105.138978547356,39.739679474610476,-105.136978547356,39.73767947461048"), "wayback")</f>
        <v>wayback</v>
      </c>
      <c r="J481" s="9" t="s">
        <v>25</v>
      </c>
      <c r="K481" s="9" t="s">
        <v>26</v>
      </c>
      <c r="L481" s="9" t="s">
        <v>15</v>
      </c>
      <c r="M481" s="9" t="s">
        <v>18</v>
      </c>
    </row>
    <row r="482" spans="1:13">
      <c r="A482" s="1" t="s">
        <v>13</v>
      </c>
      <c r="B482" s="1">
        <v>481</v>
      </c>
      <c r="C482" s="1">
        <v>2015</v>
      </c>
      <c r="D482" s="1">
        <v>2016</v>
      </c>
      <c r="E482" s="1">
        <v>34.694205044036998</v>
      </c>
      <c r="F482" s="1">
        <v>-96.193118018694491</v>
      </c>
      <c r="G482" s="4" t="str">
        <f>HYPERLINK(CONCATENATE("https://ee-faluhong.projects.earthengine.app/view/isp-ts-evaluation#id=481 2015-&gt;2016;lat=34.694205044037;lon=-96.19311801869449;year=2015;bf=7;level=18;"), "landsat_time_series")</f>
        <v>landsat_time_series</v>
      </c>
      <c r="H482" s="4" t="str">
        <f>HYPERLINK(CONCATENATE("https://jstnbraaten.users.earthengine.app/view/landsat-timeseries-explorer#run=true;lon=-96.19311801869449;lat=34.694205044037;from=01-01;to=12-31;index=NDVI;rgb=NIR%2FRED%2FGREEN;chipwidth=1;"), "landsat_chips")</f>
        <v>landsat_chips</v>
      </c>
      <c r="I482" s="4" t="str">
        <f>HYPERLINK(CONCATENATE("https://livingatlas.arcgis.com/wayback/#ext=-96.1941180186945,34.695205044036996,-96.19211801869449,34.693205044037"), "wayback")</f>
        <v>wayback</v>
      </c>
      <c r="J482" s="9" t="s">
        <v>25</v>
      </c>
      <c r="K482" s="9" t="s">
        <v>26</v>
      </c>
      <c r="L482" s="9" t="s">
        <v>15</v>
      </c>
      <c r="M482" s="9" t="s">
        <v>97</v>
      </c>
    </row>
    <row r="483" spans="1:13">
      <c r="A483" s="1" t="s">
        <v>13</v>
      </c>
      <c r="B483" s="1">
        <v>482</v>
      </c>
      <c r="C483" s="1">
        <v>2005</v>
      </c>
      <c r="D483" s="1">
        <v>2006</v>
      </c>
      <c r="E483" s="1">
        <v>41.792446367052243</v>
      </c>
      <c r="F483" s="1">
        <v>-88.283056438278521</v>
      </c>
      <c r="G483" s="4" t="str">
        <f>HYPERLINK(CONCATENATE("https://ee-faluhong.projects.earthengine.app/view/isp-ts-evaluation#id=482 2005-&gt;2006;lat=41.79244636705224;lon=-88.28305643827852;year=2005;bf=7;level=18;"), "landsat_time_series")</f>
        <v>landsat_time_series</v>
      </c>
      <c r="H483" s="4" t="str">
        <f>HYPERLINK(CONCATENATE("https://jstnbraaten.users.earthengine.app/view/landsat-timeseries-explorer#run=true;lon=-88.28305643827852;lat=41.79244636705224;from=01-01;to=12-31;index=NDVI;rgb=NIR%2FRED%2FGREEN;chipwidth=1;"), "landsat_chips")</f>
        <v>landsat_chips</v>
      </c>
      <c r="I483" s="4" t="str">
        <f>HYPERLINK(CONCATENATE("https://livingatlas.arcgis.com/wayback/#ext=-88.28405643827853,41.79344636705224,-88.28205643827852,41.791446367052245"), "wayback")</f>
        <v>wayback</v>
      </c>
      <c r="J483" s="9" t="s">
        <v>25</v>
      </c>
      <c r="K483" s="9" t="s">
        <v>26</v>
      </c>
      <c r="L483" s="9" t="s">
        <v>15</v>
      </c>
      <c r="M483" s="9" t="s">
        <v>97</v>
      </c>
    </row>
    <row r="484" spans="1:13">
      <c r="A484" s="1" t="s">
        <v>13</v>
      </c>
      <c r="B484" s="1">
        <v>483</v>
      </c>
      <c r="C484" s="1">
        <v>2019</v>
      </c>
      <c r="D484" s="1">
        <v>2020</v>
      </c>
      <c r="E484" s="1">
        <v>40.240587796314117</v>
      </c>
      <c r="F484" s="1">
        <v>-77.880960217757462</v>
      </c>
      <c r="G484" s="4" t="str">
        <f>HYPERLINK(CONCATENATE("https://ee-faluhong.projects.earthengine.app/view/isp-ts-evaluation#id=483 2019-&gt;2020;lat=40.24058779631412;lon=-77.88096021775746;year=2019;bf=7;level=18;"), "landsat_time_series")</f>
        <v>landsat_time_series</v>
      </c>
      <c r="H484" s="4" t="str">
        <f>HYPERLINK(CONCATENATE("https://jstnbraaten.users.earthengine.app/view/landsat-timeseries-explorer#run=true;lon=-77.88096021775746;lat=40.24058779631412;from=01-01;to=12-31;index=NDVI;rgb=NIR%2FRED%2FGREEN;chipwidth=1;"), "landsat_chips")</f>
        <v>landsat_chips</v>
      </c>
      <c r="I484" s="4" t="str">
        <f>HYPERLINK(CONCATENATE("https://livingatlas.arcgis.com/wayback/#ext=-77.88196021775747,40.241587796314114,-77.87996021775746,40.23958779631412"), "wayback")</f>
        <v>wayback</v>
      </c>
      <c r="J484" s="9" t="s">
        <v>19</v>
      </c>
      <c r="L484" s="9" t="s">
        <v>15</v>
      </c>
      <c r="M484" s="9" t="s">
        <v>20</v>
      </c>
    </row>
    <row r="485" spans="1:13">
      <c r="A485" s="1" t="s">
        <v>13</v>
      </c>
      <c r="B485" s="1">
        <v>484</v>
      </c>
      <c r="C485" s="1">
        <v>2002</v>
      </c>
      <c r="D485" s="1">
        <v>2003</v>
      </c>
      <c r="E485" s="1">
        <v>29.0354815826887</v>
      </c>
      <c r="F485" s="1">
        <v>-82.219002077272748</v>
      </c>
      <c r="G485" s="4" t="str">
        <f>HYPERLINK(CONCATENATE("https://ee-faluhong.projects.earthengine.app/view/isp-ts-evaluation#id=484 2002-&gt;2003;lat=29.0354815826887;lon=-82.21900207727275;year=2002;bf=7;level=18;"), "landsat_time_series")</f>
        <v>landsat_time_series</v>
      </c>
      <c r="H485" s="4" t="str">
        <f>HYPERLINK(CONCATENATE("https://jstnbraaten.users.earthengine.app/view/landsat-timeseries-explorer#run=true;lon=-82.21900207727275;lat=29.0354815826887;from=01-01;to=12-31;index=NDVI;rgb=NIR%2FRED%2FGREEN;chipwidth=1;"), "landsat_chips")</f>
        <v>landsat_chips</v>
      </c>
      <c r="I485" s="4" t="str">
        <f>HYPERLINK(CONCATENATE("https://livingatlas.arcgis.com/wayback/#ext=-82.22000207727275,29.0364815826887,-82.21800207727274,29.0344815826887"), "wayback")</f>
        <v>wayback</v>
      </c>
      <c r="J485" s="9" t="s">
        <v>21</v>
      </c>
      <c r="L485" s="9" t="s">
        <v>24</v>
      </c>
      <c r="M485" s="9" t="s">
        <v>16</v>
      </c>
    </row>
    <row r="486" spans="1:13">
      <c r="A486" s="1" t="s">
        <v>13</v>
      </c>
      <c r="B486" s="1">
        <v>485</v>
      </c>
      <c r="C486" s="1">
        <v>2013</v>
      </c>
      <c r="D486" s="1">
        <v>2014</v>
      </c>
      <c r="E486" s="1">
        <v>41.942828043601871</v>
      </c>
      <c r="F486" s="1">
        <v>-76.173501187786698</v>
      </c>
      <c r="G486" s="4" t="str">
        <f>HYPERLINK(CONCATENATE("https://ee-faluhong.projects.earthengine.app/view/isp-ts-evaluation#id=485 2013-&gt;2014;lat=41.94282804360187;lon=-76.1735011877867;year=2013;bf=7;level=18;"), "landsat_time_series")</f>
        <v>landsat_time_series</v>
      </c>
      <c r="H486" s="4" t="str">
        <f>HYPERLINK(CONCATENATE("https://jstnbraaten.users.earthengine.app/view/landsat-timeseries-explorer#run=true;lon=-76.1735011877867;lat=41.94282804360187;from=01-01;to=12-31;index=NDVI;rgb=NIR%2FRED%2FGREEN;chipwidth=1;"), "landsat_chips")</f>
        <v>landsat_chips</v>
      </c>
      <c r="I486" s="4" t="str">
        <f>HYPERLINK(CONCATENATE("https://livingatlas.arcgis.com/wayback/#ext=-76.1745011877867,41.94382804360187,-76.1725011877867,41.94182804360187"), "wayback")</f>
        <v>wayback</v>
      </c>
      <c r="J486" s="9" t="s">
        <v>17</v>
      </c>
      <c r="L486" s="9" t="s">
        <v>15</v>
      </c>
      <c r="M486" s="9" t="s">
        <v>18</v>
      </c>
    </row>
    <row r="487" spans="1:13">
      <c r="A487" s="1" t="s">
        <v>13</v>
      </c>
      <c r="B487" s="1">
        <v>486</v>
      </c>
      <c r="C487" s="1">
        <v>2014</v>
      </c>
      <c r="D487" s="1">
        <v>2015</v>
      </c>
      <c r="E487" s="1">
        <v>40.131749092649002</v>
      </c>
      <c r="F487" s="1">
        <v>-121.1422453501628</v>
      </c>
      <c r="G487" s="4" t="str">
        <f>HYPERLINK(CONCATENATE("https://ee-faluhong.projects.earthengine.app/view/isp-ts-evaluation#id=486 2014-&gt;2015;lat=40.131749092649;lon=-121.1422453501628;year=2014;bf=7;level=18;"), "landsat_time_series")</f>
        <v>landsat_time_series</v>
      </c>
      <c r="H487" s="4" t="str">
        <f>HYPERLINK(CONCATENATE("https://jstnbraaten.users.earthengine.app/view/landsat-timeseries-explorer#run=true;lon=-121.1422453501628;lat=40.131749092649;from=01-01;to=12-31;index=NDVI;rgb=NIR%2FRED%2FGREEN;chipwidth=1;"), "landsat_chips")</f>
        <v>landsat_chips</v>
      </c>
      <c r="I487" s="4" t="str">
        <f>HYPERLINK(CONCATENATE("https://livingatlas.arcgis.com/wayback/#ext=-121.1432453501628,40.132749092649,-121.14124535016279,40.130749092649005"), "wayback")</f>
        <v>wayback</v>
      </c>
      <c r="J487" s="9" t="s">
        <v>19</v>
      </c>
      <c r="L487" s="9" t="s">
        <v>15</v>
      </c>
      <c r="M487" s="9" t="s">
        <v>18</v>
      </c>
    </row>
    <row r="488" spans="1:13">
      <c r="A488" s="1" t="s">
        <v>13</v>
      </c>
      <c r="B488" s="1">
        <v>487</v>
      </c>
      <c r="C488" s="1">
        <v>2017</v>
      </c>
      <c r="D488" s="1">
        <v>2018</v>
      </c>
      <c r="E488" s="1">
        <v>42.918745545084541</v>
      </c>
      <c r="F488" s="1">
        <v>-88.014050959454664</v>
      </c>
      <c r="G488" s="4" t="str">
        <f>HYPERLINK(CONCATENATE("https://ee-faluhong.projects.earthengine.app/view/isp-ts-evaluation#id=487 2017-&gt;2018;lat=42.91874554508454;lon=-88.01405095945466;year=2017;bf=7;level=18;"), "landsat_time_series")</f>
        <v>landsat_time_series</v>
      </c>
      <c r="H488" s="4" t="str">
        <f>HYPERLINK(CONCATENATE("https://jstnbraaten.users.earthengine.app/view/landsat-timeseries-explorer#run=true;lon=-88.01405095945466;lat=42.91874554508454;from=01-01;to=12-31;index=NDVI;rgb=NIR%2FRED%2FGREEN;chipwidth=1;"), "landsat_chips")</f>
        <v>landsat_chips</v>
      </c>
      <c r="I488" s="4" t="str">
        <f>HYPERLINK(CONCATENATE("https://livingatlas.arcgis.com/wayback/#ext=-88.01505095945467,42.91974554508454,-88.01305095945466,42.91774554508454"), "wayback")</f>
        <v>wayback</v>
      </c>
      <c r="J488" s="9" t="s">
        <v>21</v>
      </c>
      <c r="L488" s="9" t="s">
        <v>15</v>
      </c>
      <c r="M488" s="9" t="s">
        <v>18</v>
      </c>
    </row>
    <row r="489" spans="1:13">
      <c r="A489" s="1" t="s">
        <v>13</v>
      </c>
      <c r="B489" s="1">
        <v>488</v>
      </c>
      <c r="C489" s="1">
        <v>2013</v>
      </c>
      <c r="D489" s="1">
        <v>2014</v>
      </c>
      <c r="E489" s="1">
        <v>31.72455891821339</v>
      </c>
      <c r="F489" s="1">
        <v>-83.587092380807306</v>
      </c>
      <c r="G489" s="4" t="str">
        <f>HYPERLINK(CONCATENATE("https://ee-faluhong.projects.earthengine.app/view/isp-ts-evaluation#id=488 2013-&gt;2014;lat=31.72455891821339;lon=-83.5870923808073;year=2013;bf=7;level=18;"), "landsat_time_series")</f>
        <v>landsat_time_series</v>
      </c>
      <c r="H489" s="4" t="str">
        <f>HYPERLINK(CONCATENATE("https://jstnbraaten.users.earthengine.app/view/landsat-timeseries-explorer#run=true;lon=-83.5870923808073;lat=31.72455891821339;from=01-01;to=12-31;index=NDVI;rgb=NIR%2FRED%2FGREEN;chipwidth=1;"), "landsat_chips")</f>
        <v>landsat_chips</v>
      </c>
      <c r="I489" s="4" t="str">
        <f>HYPERLINK(CONCATENATE("https://livingatlas.arcgis.com/wayback/#ext=-83.58809238080731,31.72555891821339,-83.5860923808073,31.72355891821339"), "wayback")</f>
        <v>wayback</v>
      </c>
      <c r="J489" s="9" t="s">
        <v>19</v>
      </c>
      <c r="L489" s="9" t="s">
        <v>15</v>
      </c>
      <c r="M489" s="9" t="s">
        <v>99</v>
      </c>
    </row>
    <row r="490" spans="1:13">
      <c r="A490" s="1" t="s">
        <v>13</v>
      </c>
      <c r="B490" s="1">
        <v>489</v>
      </c>
      <c r="C490" s="1">
        <v>2018</v>
      </c>
      <c r="D490" s="1">
        <v>2019</v>
      </c>
      <c r="E490" s="1">
        <v>40.296586446485797</v>
      </c>
      <c r="F490" s="1">
        <v>-92.987497876798358</v>
      </c>
      <c r="G490" s="4" t="str">
        <f>HYPERLINK(CONCATENATE("https://ee-faluhong.projects.earthengine.app/view/isp-ts-evaluation#id=489 2018-&gt;2019;lat=40.2965864464858;lon=-92.98749787679836;year=2018;bf=7;level=18;"), "landsat_time_series")</f>
        <v>landsat_time_series</v>
      </c>
      <c r="H490" s="4" t="str">
        <f>HYPERLINK(CONCATENATE("https://jstnbraaten.users.earthengine.app/view/landsat-timeseries-explorer#run=true;lon=-92.98749787679836;lat=40.2965864464858;from=01-01;to=12-31;index=NDVI;rgb=NIR%2FRED%2FGREEN;chipwidth=1;"), "landsat_chips")</f>
        <v>landsat_chips</v>
      </c>
      <c r="I490" s="4" t="str">
        <f>HYPERLINK(CONCATENATE("https://livingatlas.arcgis.com/wayback/#ext=-92.98849787679836,40.297586446485795,-92.98649787679835,40.2955864464858"), "wayback")</f>
        <v>wayback</v>
      </c>
      <c r="J490" s="9" t="s">
        <v>19</v>
      </c>
      <c r="L490" s="9" t="s">
        <v>15</v>
      </c>
      <c r="M490" s="9" t="s">
        <v>99</v>
      </c>
    </row>
    <row r="491" spans="1:13">
      <c r="A491" s="1" t="s">
        <v>13</v>
      </c>
      <c r="B491" s="1">
        <v>490</v>
      </c>
      <c r="C491" s="1">
        <v>2009</v>
      </c>
      <c r="D491" s="1">
        <v>2010</v>
      </c>
      <c r="E491" s="1">
        <v>47.0966375700337</v>
      </c>
      <c r="F491" s="1">
        <v>-119.31910394632089</v>
      </c>
      <c r="G491" s="4" t="str">
        <f>HYPERLINK(CONCATENATE("https://ee-faluhong.projects.earthengine.app/view/isp-ts-evaluation#id=490 2009-&gt;2010;lat=47.0966375700337;lon=-119.3191039463209;year=2009;bf=7;level=18;"), "landsat_time_series")</f>
        <v>landsat_time_series</v>
      </c>
      <c r="H491" s="4" t="str">
        <f>HYPERLINK(CONCATENATE("https://jstnbraaten.users.earthengine.app/view/landsat-timeseries-explorer#run=true;lon=-119.3191039463209;lat=47.0966375700337;from=01-01;to=12-31;index=NDVI;rgb=NIR%2FRED%2FGREEN;chipwidth=1;"), "landsat_chips")</f>
        <v>landsat_chips</v>
      </c>
      <c r="I491" s="4" t="str">
        <f>HYPERLINK(CONCATENATE("https://livingatlas.arcgis.com/wayback/#ext=-119.3201039463209,47.0976375700337,-119.31810394632089,47.0956375700337"), "wayback")</f>
        <v>wayback</v>
      </c>
      <c r="J491" s="9" t="s">
        <v>19</v>
      </c>
      <c r="L491" s="9" t="s">
        <v>15</v>
      </c>
      <c r="M491" s="9" t="s">
        <v>18</v>
      </c>
    </row>
    <row r="492" spans="1:13">
      <c r="A492" s="1" t="s">
        <v>13</v>
      </c>
      <c r="B492" s="1">
        <v>491</v>
      </c>
      <c r="C492" s="1">
        <v>2002</v>
      </c>
      <c r="D492" s="1">
        <v>2003</v>
      </c>
      <c r="E492" s="1">
        <v>38.450860886552121</v>
      </c>
      <c r="F492" s="1">
        <v>-122.0022482394408</v>
      </c>
      <c r="G492" s="4" t="str">
        <f>HYPERLINK(CONCATENATE("https://ee-faluhong.projects.earthengine.app/view/isp-ts-evaluation#id=491 2002-&gt;2003;lat=38.45086088655212;lon=-122.0022482394408;year=2002;bf=7;level=18;"), "landsat_time_series")</f>
        <v>landsat_time_series</v>
      </c>
      <c r="H492" s="4" t="str">
        <f>HYPERLINK(CONCATENATE("https://jstnbraaten.users.earthengine.app/view/landsat-timeseries-explorer#run=true;lon=-122.0022482394408;lat=38.45086088655212;from=01-01;to=12-31;index=NDVI;rgb=NIR%2FRED%2FGREEN;chipwidth=1;"), "landsat_chips")</f>
        <v>landsat_chips</v>
      </c>
      <c r="I492" s="4" t="str">
        <f>HYPERLINK(CONCATENATE("https://livingatlas.arcgis.com/wayback/#ext=-122.00324823944081,38.45186088655212,-122.0012482394408,38.44986088655212"), "wayback")</f>
        <v>wayback</v>
      </c>
      <c r="J492" s="9" t="s">
        <v>34</v>
      </c>
      <c r="L492" s="9" t="s">
        <v>15</v>
      </c>
      <c r="M492" s="9" t="s">
        <v>18</v>
      </c>
    </row>
    <row r="493" spans="1:13">
      <c r="A493" s="1" t="s">
        <v>13</v>
      </c>
      <c r="B493" s="1">
        <v>492</v>
      </c>
      <c r="C493" s="1">
        <v>2003</v>
      </c>
      <c r="D493" s="1">
        <v>2004</v>
      </c>
      <c r="E493" s="1">
        <v>43.674576090180757</v>
      </c>
      <c r="F493" s="1">
        <v>-90.207309468842197</v>
      </c>
      <c r="G493" s="4" t="str">
        <f>HYPERLINK(CONCATENATE("https://ee-faluhong.projects.earthengine.app/view/isp-ts-evaluation#id=492 2003-&gt;2004;lat=43.67457609018076;lon=-90.2073094688422;year=2003;bf=7;level=18;"), "landsat_time_series")</f>
        <v>landsat_time_series</v>
      </c>
      <c r="H493" s="4" t="str">
        <f>HYPERLINK(CONCATENATE("https://jstnbraaten.users.earthengine.app/view/landsat-timeseries-explorer#run=true;lon=-90.2073094688422;lat=43.67457609018076;from=01-01;to=12-31;index=NDVI;rgb=NIR%2FRED%2FGREEN;chipwidth=1;"), "landsat_chips")</f>
        <v>landsat_chips</v>
      </c>
      <c r="I493" s="4" t="str">
        <f>HYPERLINK(CONCATENATE("https://livingatlas.arcgis.com/wayback/#ext=-90.2083094688422,43.675576090180755,-90.20630946884219,43.67357609018076"), "wayback")</f>
        <v>wayback</v>
      </c>
      <c r="J493" s="9" t="s">
        <v>17</v>
      </c>
      <c r="L493" s="9" t="s">
        <v>15</v>
      </c>
      <c r="M493" s="9" t="s">
        <v>18</v>
      </c>
    </row>
    <row r="494" spans="1:13">
      <c r="A494" s="1" t="s">
        <v>13</v>
      </c>
      <c r="B494" s="1">
        <v>493</v>
      </c>
      <c r="C494" s="1">
        <v>2006</v>
      </c>
      <c r="D494" s="1">
        <v>2007</v>
      </c>
      <c r="E494" s="1">
        <v>42.781864651117871</v>
      </c>
      <c r="F494" s="1">
        <v>-93.995459735484729</v>
      </c>
      <c r="G494" s="4" t="str">
        <f>HYPERLINK(CONCATENATE("https://ee-faluhong.projects.earthengine.app/view/isp-ts-evaluation#id=493 2006-&gt;2007;lat=42.78186465111787;lon=-93.99545973548473;year=2006;bf=7;level=18;"), "landsat_time_series")</f>
        <v>landsat_time_series</v>
      </c>
      <c r="H494" s="4" t="str">
        <f>HYPERLINK(CONCATENATE("https://jstnbraaten.users.earthengine.app/view/landsat-timeseries-explorer#run=true;lon=-93.99545973548473;lat=42.78186465111787;from=01-01;to=12-31;index=NDVI;rgb=NIR%2FRED%2FGREEN;chipwidth=1;"), "landsat_chips")</f>
        <v>landsat_chips</v>
      </c>
      <c r="I494" s="4" t="str">
        <f>HYPERLINK(CONCATENATE("https://livingatlas.arcgis.com/wayback/#ext=-93.99645973548473,42.78286465111787,-93.99445973548472,42.780864651117874"), "wayback")</f>
        <v>wayback</v>
      </c>
      <c r="J494" s="9" t="s">
        <v>19</v>
      </c>
      <c r="L494" s="9" t="s">
        <v>15</v>
      </c>
      <c r="M494" s="9" t="s">
        <v>99</v>
      </c>
    </row>
    <row r="495" spans="1:13">
      <c r="A495" s="1" t="s">
        <v>13</v>
      </c>
      <c r="B495" s="1">
        <v>494</v>
      </c>
      <c r="C495" s="1">
        <v>2005</v>
      </c>
      <c r="D495" s="1">
        <v>2006</v>
      </c>
      <c r="E495" s="1">
        <v>26.607267983134829</v>
      </c>
      <c r="F495" s="1">
        <v>-80.088778592398313</v>
      </c>
      <c r="G495" s="4" t="str">
        <f>HYPERLINK(CONCATENATE("https://ee-faluhong.projects.earthengine.app/view/isp-ts-evaluation#id=494 2005-&gt;2006;lat=26.60726798313483;lon=-80.08877859239831;year=2005;bf=7;level=18;"), "landsat_time_series")</f>
        <v>landsat_time_series</v>
      </c>
      <c r="H495" s="4" t="str">
        <f>HYPERLINK(CONCATENATE("https://jstnbraaten.users.earthengine.app/view/landsat-timeseries-explorer#run=true;lon=-80.08877859239831;lat=26.60726798313483;from=01-01;to=12-31;index=NDVI;rgb=NIR%2FRED%2FGREEN;chipwidth=1;"), "landsat_chips")</f>
        <v>landsat_chips</v>
      </c>
      <c r="I495" s="4" t="str">
        <f>HYPERLINK(CONCATENATE("https://livingatlas.arcgis.com/wayback/#ext=-80.08977859239832,26.60826798313483,-80.08777859239831,26.606267983134828"), "wayback")</f>
        <v>wayback</v>
      </c>
      <c r="J495" s="9" t="s">
        <v>17</v>
      </c>
      <c r="L495" s="9" t="s">
        <v>24</v>
      </c>
      <c r="M495" s="9" t="s">
        <v>97</v>
      </c>
    </row>
    <row r="496" spans="1:13">
      <c r="A496" s="1" t="s">
        <v>13</v>
      </c>
      <c r="B496" s="1">
        <v>495</v>
      </c>
      <c r="C496" s="1">
        <v>2011</v>
      </c>
      <c r="D496" s="1">
        <v>2012</v>
      </c>
      <c r="E496" s="1">
        <v>37.16117929284389</v>
      </c>
      <c r="F496" s="1">
        <v>-122.2332996220442</v>
      </c>
      <c r="G496" s="4" t="str">
        <f>HYPERLINK(CONCATENATE("https://ee-faluhong.projects.earthengine.app/view/isp-ts-evaluation#id=495 2011-&gt;2012;lat=37.16117929284389;lon=-122.2332996220442;year=2011;bf=7;level=18;"), "landsat_time_series")</f>
        <v>landsat_time_series</v>
      </c>
      <c r="H496" s="4" t="str">
        <f>HYPERLINK(CONCATENATE("https://jstnbraaten.users.earthengine.app/view/landsat-timeseries-explorer#run=true;lon=-122.2332996220442;lat=37.16117929284389;from=01-01;to=12-31;index=NDVI;rgb=NIR%2FRED%2FGREEN;chipwidth=1;"), "landsat_chips")</f>
        <v>landsat_chips</v>
      </c>
      <c r="I496" s="4" t="str">
        <f>HYPERLINK(CONCATENATE("https://livingatlas.arcgis.com/wayback/#ext=-122.2342996220442,37.16217929284389,-122.2322996220442,37.16017929284389"), "wayback")</f>
        <v>wayback</v>
      </c>
      <c r="J496" s="9" t="s">
        <v>19</v>
      </c>
      <c r="L496" s="9" t="s">
        <v>15</v>
      </c>
      <c r="M496" s="9" t="s">
        <v>20</v>
      </c>
    </row>
    <row r="497" spans="1:13">
      <c r="A497" s="1" t="s">
        <v>13</v>
      </c>
      <c r="B497" s="1">
        <v>496</v>
      </c>
      <c r="C497" s="1">
        <v>2013</v>
      </c>
      <c r="D497" s="1">
        <v>2014</v>
      </c>
      <c r="E497" s="1">
        <v>40.157694112093779</v>
      </c>
      <c r="F497" s="1">
        <v>-74.073610067564758</v>
      </c>
      <c r="G497" s="4" t="str">
        <f>HYPERLINK(CONCATENATE("https://ee-faluhong.projects.earthengine.app/view/isp-ts-evaluation#id=496 2013-&gt;2014;lat=40.15769411209378;lon=-74.07361006756476;year=2013;bf=7;level=18;"), "landsat_time_series")</f>
        <v>landsat_time_series</v>
      </c>
      <c r="H497" s="4" t="str">
        <f>HYPERLINK(CONCATENATE("https://jstnbraaten.users.earthengine.app/view/landsat-timeseries-explorer#run=true;lon=-74.07361006756476;lat=40.15769411209378;from=01-01;to=12-31;index=NDVI;rgb=NIR%2FRED%2FGREEN;chipwidth=1;"), "landsat_chips")</f>
        <v>landsat_chips</v>
      </c>
      <c r="I497" s="4" t="str">
        <f>HYPERLINK(CONCATENATE("https://livingatlas.arcgis.com/wayback/#ext=-74.07461006756476,40.15869411209378,-74.07261006756475,40.15669411209378"), "wayback")</f>
        <v>wayback</v>
      </c>
      <c r="J497" s="9" t="s">
        <v>19</v>
      </c>
      <c r="L497" s="9" t="s">
        <v>24</v>
      </c>
      <c r="M497" s="9" t="s">
        <v>18</v>
      </c>
    </row>
    <row r="498" spans="1:13">
      <c r="A498" s="1" t="s">
        <v>13</v>
      </c>
      <c r="B498" s="1">
        <v>497</v>
      </c>
      <c r="C498" s="1">
        <v>2015</v>
      </c>
      <c r="D498" s="1">
        <v>2016</v>
      </c>
      <c r="E498" s="1">
        <v>41.880089234914237</v>
      </c>
      <c r="F498" s="1">
        <v>-103.7938355426369</v>
      </c>
      <c r="G498" s="4" t="str">
        <f>HYPERLINK(CONCATENATE("https://ee-faluhong.projects.earthengine.app/view/isp-ts-evaluation#id=497 2015-&gt;2016;lat=41.88008923491424;lon=-103.7938355426369;year=2015;bf=7;level=18;"), "landsat_time_series")</f>
        <v>landsat_time_series</v>
      </c>
      <c r="H498" s="4" t="str">
        <f>HYPERLINK(CONCATENATE("https://jstnbraaten.users.earthengine.app/view/landsat-timeseries-explorer#run=true;lon=-103.7938355426369;lat=41.88008923491424;from=01-01;to=12-31;index=NDVI;rgb=NIR%2FRED%2FGREEN;chipwidth=1;"), "landsat_chips")</f>
        <v>landsat_chips</v>
      </c>
      <c r="I498" s="4" t="str">
        <f>HYPERLINK(CONCATENATE("https://livingatlas.arcgis.com/wayback/#ext=-103.7948355426369,41.881089234914235,-103.7928355426369,41.87908923491424"), "wayback")</f>
        <v>wayback</v>
      </c>
      <c r="J498" s="9" t="s">
        <v>17</v>
      </c>
      <c r="L498" s="9" t="s">
        <v>15</v>
      </c>
      <c r="M498" s="9" t="s">
        <v>18</v>
      </c>
    </row>
    <row r="499" spans="1:13">
      <c r="A499" s="1" t="s">
        <v>13</v>
      </c>
      <c r="B499" s="1">
        <v>498</v>
      </c>
      <c r="C499" s="1">
        <v>2000</v>
      </c>
      <c r="D499" s="1">
        <v>2001</v>
      </c>
      <c r="E499" s="1">
        <v>40.323546210911807</v>
      </c>
      <c r="F499" s="1">
        <v>-120.2929228409174</v>
      </c>
      <c r="G499" s="4" t="str">
        <f>HYPERLINK(CONCATENATE("https://ee-faluhong.projects.earthengine.app/view/isp-ts-evaluation#id=498 2000-&gt;2001;lat=40.32354621091181;lon=-120.2929228409174;year=2000;bf=7;level=18;"), "landsat_time_series")</f>
        <v>landsat_time_series</v>
      </c>
      <c r="H499" s="4" t="str">
        <f>HYPERLINK(CONCATENATE("https://jstnbraaten.users.earthengine.app/view/landsat-timeseries-explorer#run=true;lon=-120.2929228409174;lat=40.32354621091181;from=01-01;to=12-31;index=NDVI;rgb=NIR%2FRED%2FGREEN;chipwidth=1;"), "landsat_chips")</f>
        <v>landsat_chips</v>
      </c>
      <c r="I499" s="4" t="str">
        <f>HYPERLINK(CONCATENATE("https://livingatlas.arcgis.com/wayback/#ext=-120.2939228409174,40.324546210911805,-120.2919228409174,40.32254621091181"), "wayback")</f>
        <v>wayback</v>
      </c>
      <c r="J499" s="9" t="s">
        <v>19</v>
      </c>
      <c r="L499" s="9" t="s">
        <v>15</v>
      </c>
      <c r="M499" s="9" t="s">
        <v>33</v>
      </c>
    </row>
    <row r="500" spans="1:13">
      <c r="A500" s="1" t="s">
        <v>13</v>
      </c>
      <c r="B500" s="1">
        <v>499</v>
      </c>
      <c r="C500" s="1">
        <v>2018</v>
      </c>
      <c r="D500" s="1">
        <v>2019</v>
      </c>
      <c r="E500" s="1">
        <v>41.467206003977431</v>
      </c>
      <c r="F500" s="1">
        <v>-81.660708886828459</v>
      </c>
      <c r="G500" s="4" t="str">
        <f>HYPERLINK(CONCATENATE("https://ee-faluhong.projects.earthengine.app/view/isp-ts-evaluation#id=499 2018-&gt;2019;lat=41.46720600397743;lon=-81.66070888682846;year=2018;bf=7;level=18;"), "landsat_time_series")</f>
        <v>landsat_time_series</v>
      </c>
      <c r="H500" s="4" t="str">
        <f>HYPERLINK(CONCATENATE("https://jstnbraaten.users.earthengine.app/view/landsat-timeseries-explorer#run=true;lon=-81.66070888682846;lat=41.46720600397743;from=01-01;to=12-31;index=NDVI;rgb=NIR%2FRED%2FGREEN;chipwidth=1;"), "landsat_chips")</f>
        <v>landsat_chips</v>
      </c>
      <c r="I500" s="4" t="str">
        <f>HYPERLINK(CONCATENATE("https://livingatlas.arcgis.com/wayback/#ext=-81.66170888682846,41.46820600397743,-81.65970888682845,41.46620600397743"), "wayback")</f>
        <v>wayback</v>
      </c>
      <c r="J500" s="9" t="s">
        <v>25</v>
      </c>
      <c r="K500" s="9" t="s">
        <v>40</v>
      </c>
      <c r="L500" s="9" t="s">
        <v>15</v>
      </c>
      <c r="M500" s="9" t="s">
        <v>16</v>
      </c>
    </row>
    <row r="501" spans="1:13">
      <c r="A501" s="1" t="s">
        <v>13</v>
      </c>
      <c r="B501" s="1">
        <v>500</v>
      </c>
      <c r="C501" s="1">
        <v>2005</v>
      </c>
      <c r="D501" s="1">
        <v>2006</v>
      </c>
      <c r="E501" s="1">
        <v>27.61333329898051</v>
      </c>
      <c r="F501" s="1">
        <v>-98.064669779652135</v>
      </c>
      <c r="G501" s="4" t="str">
        <f>HYPERLINK(CONCATENATE("https://ee-faluhong.projects.earthengine.app/view/isp-ts-evaluation#id=500 2005-&gt;2006;lat=27.61333329898051;lon=-98.06466977965214;year=2005;bf=7;level=18;"), "landsat_time_series")</f>
        <v>landsat_time_series</v>
      </c>
      <c r="H501" s="4" t="str">
        <f>HYPERLINK(CONCATENATE("https://jstnbraaten.users.earthengine.app/view/landsat-timeseries-explorer#run=true;lon=-98.06466977965214;lat=27.61333329898051;from=01-01;to=12-31;index=NDVI;rgb=NIR%2FRED%2FGREEN;chipwidth=1;"), "landsat_chips")</f>
        <v>landsat_chips</v>
      </c>
      <c r="I501" s="4" t="str">
        <f>HYPERLINK(CONCATENATE("https://livingatlas.arcgis.com/wayback/#ext=-98.06566977965214,27.61433329898051,-98.06366977965213,27.61233329898051"), "wayback")</f>
        <v>wayback</v>
      </c>
      <c r="J501" s="9" t="s">
        <v>19</v>
      </c>
      <c r="L501" s="9" t="s">
        <v>24</v>
      </c>
      <c r="M501" s="9" t="s">
        <v>33</v>
      </c>
    </row>
    <row r="502" spans="1:13">
      <c r="A502" s="1" t="s">
        <v>117</v>
      </c>
      <c r="B502" s="1">
        <v>501</v>
      </c>
      <c r="C502" s="1">
        <v>2006</v>
      </c>
      <c r="D502" s="1">
        <v>2007</v>
      </c>
      <c r="E502" s="1">
        <v>30.943995270842802</v>
      </c>
      <c r="F502" s="1">
        <v>-96.471352918855061</v>
      </c>
      <c r="G502" s="4" t="str">
        <f>HYPERLINK(CONCATENATE("https://ee-faluhong.projects.earthengine.app/view/isp-ts-evaluation#id=501 2006-&gt;2007;lat=30.9439952708428;lon=-96.47135291885506;year=2006;bf=7;level=18;"), "landsat_time_series")</f>
        <v>landsat_time_series</v>
      </c>
      <c r="H502" s="4" t="str">
        <f>HYPERLINK(CONCATENATE("https://jstnbraaten.users.earthengine.app/view/landsat-timeseries-explorer#run=true;lon=-96.47135291885506;lat=30.9439952708428;from=01-01;to=12-31;index=NDVI;rgb=NIR%2FRED%2FGREEN;chipwidth=1;"), "landsat_chips")</f>
        <v>landsat_chips</v>
      </c>
      <c r="I502" s="4" t="str">
        <f>HYPERLINK(CONCATENATE("https://livingatlas.arcgis.com/wayback/#ext=-96.47235291885507,30.944995270842803,-96.47035291885506,30.9429952708428"), "wayback")</f>
        <v>wayback</v>
      </c>
      <c r="J502" s="9" t="s">
        <v>19</v>
      </c>
      <c r="L502" s="9" t="s">
        <v>15</v>
      </c>
    </row>
    <row r="503" spans="1:13">
      <c r="A503" s="1" t="s">
        <v>117</v>
      </c>
      <c r="B503" s="1">
        <v>502</v>
      </c>
      <c r="C503" s="1">
        <v>2010</v>
      </c>
      <c r="D503" s="1">
        <v>2011</v>
      </c>
      <c r="E503" s="1">
        <v>29.221114226151521</v>
      </c>
      <c r="F503" s="1">
        <v>-82.738887596147123</v>
      </c>
      <c r="G503" s="4" t="str">
        <f>HYPERLINK(CONCATENATE("https://ee-faluhong.projects.earthengine.app/view/isp-ts-evaluation#id=502 2010-&gt;2011;lat=29.22111422615152;lon=-82.73888759614712;year=2010;bf=7;level=18;"), "landsat_time_series")</f>
        <v>landsat_time_series</v>
      </c>
      <c r="H503" s="4" t="str">
        <f>HYPERLINK(CONCATENATE("https://jstnbraaten.users.earthengine.app/view/landsat-timeseries-explorer#run=true;lon=-82.73888759614712;lat=29.22111422615152;from=01-01;to=12-31;index=NDVI;rgb=NIR%2FRED%2FGREEN;chipwidth=1;"), "landsat_chips")</f>
        <v>landsat_chips</v>
      </c>
      <c r="I503" s="4" t="str">
        <f>HYPERLINK(CONCATENATE("https://livingatlas.arcgis.com/wayback/#ext=-82.73988759614713,29.222114226151522,-82.73788759614712,29.22011422615152"), "wayback")</f>
        <v>wayback</v>
      </c>
      <c r="J503" s="9" t="s">
        <v>19</v>
      </c>
      <c r="L503" s="9" t="s">
        <v>24</v>
      </c>
      <c r="M503" s="9" t="s">
        <v>118</v>
      </c>
    </row>
    <row r="504" spans="1:13">
      <c r="A504" s="1" t="s">
        <v>117</v>
      </c>
      <c r="B504" s="1">
        <v>503</v>
      </c>
      <c r="C504" s="1">
        <v>2011</v>
      </c>
      <c r="D504" s="1">
        <v>2012</v>
      </c>
      <c r="E504" s="1">
        <v>39.987454331963413</v>
      </c>
      <c r="F504" s="1">
        <v>-105.09389833293081</v>
      </c>
      <c r="G504" s="4" t="str">
        <f>HYPERLINK(CONCATENATE("https://ee-faluhong.projects.earthengine.app/view/isp-ts-evaluation#id=503 2011-&gt;2012;lat=39.98745433196341;lon=-105.0938983329308;year=2011;bf=7;level=18;"), "landsat_time_series")</f>
        <v>landsat_time_series</v>
      </c>
      <c r="H504" s="4" t="str">
        <f>HYPERLINK(CONCATENATE("https://jstnbraaten.users.earthengine.app/view/landsat-timeseries-explorer#run=true;lon=-105.0938983329308;lat=39.98745433196341;from=01-01;to=12-31;index=NDVI;rgb=NIR%2FRED%2FGREEN;chipwidth=1;"), "landsat_chips")</f>
        <v>landsat_chips</v>
      </c>
      <c r="I504" s="4" t="str">
        <f>HYPERLINK(CONCATENATE("https://livingatlas.arcgis.com/wayback/#ext=-105.09489833293081,39.98845433196341,-105.0928983329308,39.986454331963415"), "wayback")</f>
        <v>wayback</v>
      </c>
      <c r="J504" s="9" t="s">
        <v>25</v>
      </c>
      <c r="K504" s="9" t="s">
        <v>26</v>
      </c>
      <c r="L504" s="9" t="s">
        <v>15</v>
      </c>
      <c r="M504" s="9" t="s">
        <v>119</v>
      </c>
    </row>
    <row r="505" spans="1:13">
      <c r="A505" s="1" t="s">
        <v>117</v>
      </c>
      <c r="B505" s="1">
        <v>504</v>
      </c>
      <c r="C505" s="1">
        <v>2007</v>
      </c>
      <c r="D505" s="1">
        <v>2008</v>
      </c>
      <c r="E505" s="1">
        <v>29.756167883960501</v>
      </c>
      <c r="F505" s="1">
        <v>-98.692270468877425</v>
      </c>
      <c r="G505" s="4" t="str">
        <f>HYPERLINK(CONCATENATE("https://ee-faluhong.projects.earthengine.app/view/isp-ts-evaluation#id=504 2007-&gt;2008;lat=29.7561678839605;lon=-98.69227046887742;year=2007;bf=7;level=18;"), "landsat_time_series")</f>
        <v>landsat_time_series</v>
      </c>
      <c r="H505" s="4" t="str">
        <f>HYPERLINK(CONCATENATE("https://jstnbraaten.users.earthengine.app/view/landsat-timeseries-explorer#run=true;lon=-98.69227046887742;lat=29.7561678839605;from=01-01;to=12-31;index=NDVI;rgb=NIR%2FRED%2FGREEN;chipwidth=1;"), "landsat_chips")</f>
        <v>landsat_chips</v>
      </c>
      <c r="I505" s="4" t="str">
        <f>HYPERLINK(CONCATENATE("https://livingatlas.arcgis.com/wayback/#ext=-98.69327046887743,29.757167883960502,-98.69127046887742,29.7551678839605"), "wayback")</f>
        <v>wayback</v>
      </c>
      <c r="J505" s="9" t="s">
        <v>25</v>
      </c>
      <c r="K505" s="9" t="s">
        <v>26</v>
      </c>
      <c r="L505" s="9" t="s">
        <v>24</v>
      </c>
    </row>
    <row r="506" spans="1:13">
      <c r="A506" s="1" t="s">
        <v>117</v>
      </c>
      <c r="B506" s="1">
        <v>505</v>
      </c>
      <c r="C506" s="1">
        <v>2000</v>
      </c>
      <c r="D506" s="1">
        <v>2001</v>
      </c>
      <c r="E506" s="1">
        <v>41.822775050669073</v>
      </c>
      <c r="F506" s="1">
        <v>-70.597478204980774</v>
      </c>
      <c r="G506" s="4" t="str">
        <f>HYPERLINK(CONCATENATE("https://ee-faluhong.projects.earthengine.app/view/isp-ts-evaluation#id=505 2000-&gt;2001;lat=41.82277505066907;lon=-70.59747820498077;year=2000;bf=7;level=18;"), "landsat_time_series")</f>
        <v>landsat_time_series</v>
      </c>
      <c r="H506" s="4" t="str">
        <f>HYPERLINK(CONCATENATE("https://jstnbraaten.users.earthengine.app/view/landsat-timeseries-explorer#run=true;lon=-70.59747820498077;lat=41.82277505066907;from=01-01;to=12-31;index=NDVI;rgb=NIR%2FRED%2FGREEN;chipwidth=1;"), "landsat_chips")</f>
        <v>landsat_chips</v>
      </c>
      <c r="I506" s="4" t="str">
        <f>HYPERLINK(CONCATENATE("https://livingatlas.arcgis.com/wayback/#ext=-70.59847820498078,41.82377505066907,-70.59647820498077,41.821775050669075"), "wayback")</f>
        <v>wayback</v>
      </c>
      <c r="J506" s="9" t="s">
        <v>34</v>
      </c>
      <c r="M506" s="9" t="s">
        <v>51</v>
      </c>
    </row>
    <row r="507" spans="1:13">
      <c r="A507" s="1" t="s">
        <v>117</v>
      </c>
      <c r="B507" s="1">
        <v>506</v>
      </c>
      <c r="C507" s="1">
        <v>2019</v>
      </c>
      <c r="D507" s="1">
        <v>2020</v>
      </c>
      <c r="E507" s="1">
        <v>34.145148830226198</v>
      </c>
      <c r="F507" s="1">
        <v>-118.7682057754115</v>
      </c>
      <c r="G507" s="4" t="str">
        <f>HYPERLINK(CONCATENATE("https://ee-faluhong.projects.earthengine.app/view/isp-ts-evaluation#id=506 2019-&gt;2020;lat=34.1451488302262;lon=-118.7682057754115;year=2019;bf=7;level=18;"), "landsat_time_series")</f>
        <v>landsat_time_series</v>
      </c>
      <c r="H507" s="4" t="str">
        <f>HYPERLINK(CONCATENATE("https://jstnbraaten.users.earthengine.app/view/landsat-timeseries-explorer#run=true;lon=-118.7682057754115;lat=34.1451488302262;from=01-01;to=12-31;index=NDVI;rgb=NIR%2FRED%2FGREEN;chipwidth=1;"), "landsat_chips")</f>
        <v>landsat_chips</v>
      </c>
      <c r="I507" s="4" t="str">
        <f>HYPERLINK(CONCATENATE("https://livingatlas.arcgis.com/wayback/#ext=-118.7692057754115,34.146148830226196,-118.7672057754115,34.1441488302262"), "wayback")</f>
        <v>wayback</v>
      </c>
      <c r="J507" s="9" t="s">
        <v>14</v>
      </c>
      <c r="L507" s="9" t="s">
        <v>31</v>
      </c>
    </row>
    <row r="508" spans="1:13">
      <c r="A508" s="1" t="s">
        <v>117</v>
      </c>
      <c r="B508" s="1">
        <v>507</v>
      </c>
      <c r="C508" s="1">
        <v>2016</v>
      </c>
      <c r="D508" s="1">
        <v>2017</v>
      </c>
      <c r="E508" s="1">
        <v>33.520825805031883</v>
      </c>
      <c r="F508" s="1">
        <v>-112.0581520296717</v>
      </c>
      <c r="G508" s="4" t="str">
        <f>HYPERLINK(CONCATENATE("https://ee-faluhong.projects.earthengine.app/view/isp-ts-evaluation#id=507 2016-&gt;2017;lat=33.52082580503188;lon=-112.0581520296717;year=2016;bf=7;level=18;"), "landsat_time_series")</f>
        <v>landsat_time_series</v>
      </c>
      <c r="H508" s="4" t="str">
        <f>HYPERLINK(CONCATENATE("https://jstnbraaten.users.earthengine.app/view/landsat-timeseries-explorer#run=true;lon=-112.0581520296717;lat=33.52082580503188;from=01-01;to=12-31;index=NDVI;rgb=NIR%2FRED%2FGREEN;chipwidth=1;"), "landsat_chips")</f>
        <v>landsat_chips</v>
      </c>
      <c r="I508" s="4" t="str">
        <f>HYPERLINK(CONCATENATE("https://livingatlas.arcgis.com/wayback/#ext=-112.05915202967171,33.52182580503188,-112.0571520296717,33.519825805031886"), "wayback")</f>
        <v>wayback</v>
      </c>
      <c r="J508" s="9" t="s">
        <v>17</v>
      </c>
      <c r="L508" s="9" t="s">
        <v>15</v>
      </c>
    </row>
    <row r="509" spans="1:13">
      <c r="A509" s="1" t="s">
        <v>117</v>
      </c>
      <c r="B509" s="1">
        <v>508</v>
      </c>
      <c r="C509" s="1">
        <v>2010</v>
      </c>
      <c r="D509" s="1">
        <v>2011</v>
      </c>
      <c r="E509" s="1">
        <v>33.499904264737182</v>
      </c>
      <c r="F509" s="1">
        <v>-81.826523497996121</v>
      </c>
      <c r="G509" s="4" t="str">
        <f>HYPERLINK(CONCATENATE("https://ee-faluhong.projects.earthengine.app/view/isp-ts-evaluation#id=508 2010-&gt;2011;lat=33.49990426473718;lon=-81.82652349799612;year=2010;bf=7;level=18;"), "landsat_time_series")</f>
        <v>landsat_time_series</v>
      </c>
      <c r="H509" s="4" t="str">
        <f>HYPERLINK(CONCATENATE("https://jstnbraaten.users.earthengine.app/view/landsat-timeseries-explorer#run=true;lon=-81.82652349799612;lat=33.49990426473718;from=01-01;to=12-31;index=NDVI;rgb=NIR%2FRED%2FGREEN;chipwidth=1;"), "landsat_chips")</f>
        <v>landsat_chips</v>
      </c>
      <c r="I509" s="4" t="str">
        <f>HYPERLINK(CONCATENATE("https://livingatlas.arcgis.com/wayback/#ext=-81.82752349799613,33.50090426473718,-81.82552349799612,33.498904264737185"), "wayback")</f>
        <v>wayback</v>
      </c>
      <c r="J509" s="9" t="s">
        <v>34</v>
      </c>
      <c r="L509" s="9" t="s">
        <v>56</v>
      </c>
      <c r="M509" s="9" t="s">
        <v>120</v>
      </c>
    </row>
    <row r="510" spans="1:13">
      <c r="A510" s="1" t="s">
        <v>117</v>
      </c>
      <c r="B510" s="1">
        <v>509</v>
      </c>
      <c r="C510" s="1">
        <v>2005</v>
      </c>
      <c r="D510" s="1">
        <v>2006</v>
      </c>
      <c r="E510" s="1">
        <v>33.979377731860573</v>
      </c>
      <c r="F510" s="1">
        <v>-107.0971708248626</v>
      </c>
      <c r="G510" s="4" t="str">
        <f>HYPERLINK(CONCATENATE("https://ee-faluhong.projects.earthengine.app/view/isp-ts-evaluation#id=509 2005-&gt;2006;lat=33.97937773186057;lon=-107.0971708248626;year=2005;bf=7;level=18;"), "landsat_time_series")</f>
        <v>landsat_time_series</v>
      </c>
      <c r="H510" s="4" t="str">
        <f>HYPERLINK(CONCATENATE("https://jstnbraaten.users.earthengine.app/view/landsat-timeseries-explorer#run=true;lon=-107.0971708248626;lat=33.97937773186057;from=01-01;to=12-31;index=NDVI;rgb=NIR%2FRED%2FGREEN;chipwidth=1;"), "landsat_chips")</f>
        <v>landsat_chips</v>
      </c>
      <c r="I510" s="4" t="str">
        <f>HYPERLINK(CONCATENATE("https://livingatlas.arcgis.com/wayback/#ext=-107.0981708248626,33.98037773186057,-107.0961708248626,33.978377731860576"), "wayback")</f>
        <v>wayback</v>
      </c>
      <c r="J510" s="9" t="s">
        <v>19</v>
      </c>
      <c r="L510" s="9" t="s">
        <v>15</v>
      </c>
    </row>
    <row r="511" spans="1:13">
      <c r="A511" s="1" t="s">
        <v>117</v>
      </c>
      <c r="B511" s="1">
        <v>510</v>
      </c>
      <c r="C511" s="1">
        <v>2003</v>
      </c>
      <c r="D511" s="1">
        <v>2004</v>
      </c>
      <c r="E511" s="1">
        <v>34.261102927407038</v>
      </c>
      <c r="F511" s="1">
        <v>-117.2081904779993</v>
      </c>
      <c r="G511" s="4" t="str">
        <f>HYPERLINK(CONCATENATE("https://ee-faluhong.projects.earthengine.app/view/isp-ts-evaluation#id=510 2003-&gt;2004;lat=34.26110292740704;lon=-117.2081904779993;year=2003;bf=7;level=18;"), "landsat_time_series")</f>
        <v>landsat_time_series</v>
      </c>
      <c r="H511" s="4" t="str">
        <f>HYPERLINK(CONCATENATE("https://jstnbraaten.users.earthengine.app/view/landsat-timeseries-explorer#run=true;lon=-117.2081904779993;lat=34.26110292740704;from=01-01;to=12-31;index=NDVI;rgb=NIR%2FRED%2FGREEN;chipwidth=1;"), "landsat_chips")</f>
        <v>landsat_chips</v>
      </c>
      <c r="I511" s="4" t="str">
        <f>HYPERLINK(CONCATENATE("https://livingatlas.arcgis.com/wayback/#ext=-117.2091904779993,34.262102927407035,-117.20719047799929,34.26010292740704"), "wayback")</f>
        <v>wayback</v>
      </c>
      <c r="J511" s="9" t="s">
        <v>14</v>
      </c>
      <c r="L511" s="9" t="s">
        <v>24</v>
      </c>
    </row>
    <row r="512" spans="1:13">
      <c r="A512" s="1" t="s">
        <v>117</v>
      </c>
      <c r="B512" s="1">
        <v>511</v>
      </c>
      <c r="C512" s="1">
        <v>2008</v>
      </c>
      <c r="D512" s="1">
        <v>2009</v>
      </c>
      <c r="E512" s="1">
        <v>29.948299952706229</v>
      </c>
      <c r="F512" s="1">
        <v>-83.289697860005077</v>
      </c>
      <c r="G512" s="4" t="str">
        <f>HYPERLINK(CONCATENATE("https://ee-faluhong.projects.earthengine.app/view/isp-ts-evaluation#id=511 2008-&gt;2009;lat=29.94829995270623;lon=-83.28969786000508;year=2008;bf=7;level=18;"), "landsat_time_series")</f>
        <v>landsat_time_series</v>
      </c>
      <c r="H512" s="4" t="str">
        <f>HYPERLINK(CONCATENATE("https://jstnbraaten.users.earthengine.app/view/landsat-timeseries-explorer#run=true;lon=-83.28969786000508;lat=29.94829995270623;from=01-01;to=12-31;index=NDVI;rgb=NIR%2FRED%2FGREEN;chipwidth=1;"), "landsat_chips")</f>
        <v>landsat_chips</v>
      </c>
      <c r="I512" s="4" t="str">
        <f>HYPERLINK(CONCATENATE("https://livingatlas.arcgis.com/wayback/#ext=-83.29069786000508,29.94929995270623,-83.28869786000507,29.947299952706228"), "wayback")</f>
        <v>wayback</v>
      </c>
      <c r="J512" s="9" t="s">
        <v>19</v>
      </c>
      <c r="L512" s="9" t="s">
        <v>15</v>
      </c>
      <c r="M512" s="9" t="s">
        <v>121</v>
      </c>
    </row>
    <row r="513" spans="1:13">
      <c r="A513" s="1" t="s">
        <v>117</v>
      </c>
      <c r="B513" s="1">
        <v>512</v>
      </c>
      <c r="C513" s="1">
        <v>2007</v>
      </c>
      <c r="D513" s="1">
        <v>2008</v>
      </c>
      <c r="E513" s="1">
        <v>39.652634421242858</v>
      </c>
      <c r="F513" s="1">
        <v>-104.9069577946704</v>
      </c>
      <c r="G513" s="4" t="str">
        <f>HYPERLINK(CONCATENATE("https://ee-faluhong.projects.earthengine.app/view/isp-ts-evaluation#id=512 2007-&gt;2008;lat=39.65263442124286;lon=-104.9069577946704;year=2007;bf=7;level=18;"), "landsat_time_series")</f>
        <v>landsat_time_series</v>
      </c>
      <c r="H513" s="4" t="str">
        <f>HYPERLINK(CONCATENATE("https://jstnbraaten.users.earthengine.app/view/landsat-timeseries-explorer#run=true;lon=-104.9069577946704;lat=39.65263442124286;from=01-01;to=12-31;index=NDVI;rgb=NIR%2FRED%2FGREEN;chipwidth=1;"), "landsat_chips")</f>
        <v>landsat_chips</v>
      </c>
      <c r="I513" s="4" t="str">
        <f>HYPERLINK(CONCATENATE("https://livingatlas.arcgis.com/wayback/#ext=-104.90795779467041,39.653634421242856,-104.9059577946704,39.65163442124286"), "wayback")</f>
        <v>wayback</v>
      </c>
      <c r="J513" s="9" t="s">
        <v>25</v>
      </c>
      <c r="K513" s="9" t="s">
        <v>26</v>
      </c>
      <c r="L513" s="9" t="s">
        <v>15</v>
      </c>
    </row>
    <row r="514" spans="1:13">
      <c r="A514" s="1" t="s">
        <v>117</v>
      </c>
      <c r="B514" s="1">
        <v>513</v>
      </c>
      <c r="C514" s="1">
        <v>2013</v>
      </c>
      <c r="D514" s="1">
        <v>2014</v>
      </c>
      <c r="E514" s="1">
        <v>26.145541195835619</v>
      </c>
      <c r="F514" s="1">
        <v>-80.110169425470431</v>
      </c>
      <c r="G514" s="4" t="str">
        <f>HYPERLINK(CONCATENATE("https://ee-faluhong.projects.earthengine.app/view/isp-ts-evaluation#id=513 2013-&gt;2014;lat=26.14554119583562;lon=-80.11016942547043;year=2013;bf=7;level=18;"), "landsat_time_series")</f>
        <v>landsat_time_series</v>
      </c>
      <c r="H514" s="4" t="str">
        <f>HYPERLINK(CONCATENATE("https://jstnbraaten.users.earthengine.app/view/landsat-timeseries-explorer#run=true;lon=-80.11016942547043;lat=26.14554119583562;from=01-01;to=12-31;index=NDVI;rgb=NIR%2FRED%2FGREEN;chipwidth=1;"), "landsat_chips")</f>
        <v>landsat_chips</v>
      </c>
      <c r="I514" s="4" t="str">
        <f>HYPERLINK(CONCATENATE("https://livingatlas.arcgis.com/wayback/#ext=-80.11116942547044,26.14654119583562,-80.10916942547043,26.144541195835618"), "wayback")</f>
        <v>wayback</v>
      </c>
      <c r="J514" s="9" t="s">
        <v>21</v>
      </c>
      <c r="L514" s="9" t="s">
        <v>15</v>
      </c>
    </row>
    <row r="515" spans="1:13">
      <c r="A515" s="1" t="s">
        <v>117</v>
      </c>
      <c r="B515" s="1">
        <v>514</v>
      </c>
      <c r="C515" s="1">
        <v>2011</v>
      </c>
      <c r="D515" s="1">
        <v>2012</v>
      </c>
      <c r="E515" s="1">
        <v>34.009690584559138</v>
      </c>
      <c r="F515" s="1">
        <v>-78.286165862411309</v>
      </c>
      <c r="G515" s="4" t="str">
        <f>HYPERLINK(CONCATENATE("https://ee-faluhong.projects.earthengine.app/view/isp-ts-evaluation#id=514 2011-&gt;2012;lat=34.00969058455914;lon=-78.28616586241131;year=2011;bf=7;level=18;"), "landsat_time_series")</f>
        <v>landsat_time_series</v>
      </c>
      <c r="H515" s="4" t="str">
        <f>HYPERLINK(CONCATENATE("https://jstnbraaten.users.earthengine.app/view/landsat-timeseries-explorer#run=true;lon=-78.28616586241131;lat=34.00969058455914;from=01-01;to=12-31;index=NDVI;rgb=NIR%2FRED%2FGREEN;chipwidth=1;"), "landsat_chips")</f>
        <v>landsat_chips</v>
      </c>
      <c r="I515" s="4" t="str">
        <f>HYPERLINK(CONCATENATE("https://livingatlas.arcgis.com/wayback/#ext=-78.28716586241131,34.010690584559136,-78.2851658624113,34.00869058455914"), "wayback")</f>
        <v>wayback</v>
      </c>
      <c r="J515" s="9" t="s">
        <v>14</v>
      </c>
      <c r="L515" s="9" t="s">
        <v>15</v>
      </c>
    </row>
    <row r="516" spans="1:13">
      <c r="A516" s="1" t="s">
        <v>117</v>
      </c>
      <c r="B516" s="1">
        <v>515</v>
      </c>
      <c r="C516" s="1">
        <v>2000</v>
      </c>
      <c r="D516" s="1">
        <v>2001</v>
      </c>
      <c r="E516" s="1">
        <v>32.744838326110973</v>
      </c>
      <c r="F516" s="1">
        <v>-84.209487680565317</v>
      </c>
      <c r="G516" s="4" t="str">
        <f>HYPERLINK(CONCATENATE("https://ee-faluhong.projects.earthengine.app/view/isp-ts-evaluation#id=515 2000-&gt;2001;lat=32.74483832611097;lon=-84.20948768056532;year=2000;bf=7;level=18;"), "landsat_time_series")</f>
        <v>landsat_time_series</v>
      </c>
      <c r="H516" s="4" t="str">
        <f>HYPERLINK(CONCATENATE("https://jstnbraaten.users.earthengine.app/view/landsat-timeseries-explorer#run=true;lon=-84.20948768056532;lat=32.74483832611097;from=01-01;to=12-31;index=NDVI;rgb=NIR%2FRED%2FGREEN;chipwidth=1;"), "landsat_chips")</f>
        <v>landsat_chips</v>
      </c>
      <c r="I516" s="4" t="str">
        <f>HYPERLINK(CONCATENATE("https://livingatlas.arcgis.com/wayback/#ext=-84.21048768056532,32.74583832611097,-84.20848768056531,32.743838326110975"), "wayback")</f>
        <v>wayback</v>
      </c>
      <c r="J516" s="9" t="s">
        <v>25</v>
      </c>
      <c r="K516" s="9" t="s">
        <v>26</v>
      </c>
      <c r="L516" s="9" t="s">
        <v>24</v>
      </c>
      <c r="M516" s="9" t="s">
        <v>122</v>
      </c>
    </row>
    <row r="517" spans="1:13">
      <c r="A517" s="1" t="s">
        <v>117</v>
      </c>
      <c r="B517" s="1">
        <v>516</v>
      </c>
      <c r="C517" s="1">
        <v>2016</v>
      </c>
      <c r="D517" s="1">
        <v>2017</v>
      </c>
      <c r="E517" s="1">
        <v>38.570181767473997</v>
      </c>
      <c r="F517" s="1">
        <v>-92.194273093656818</v>
      </c>
      <c r="G517" s="4" t="str">
        <f>HYPERLINK(CONCATENATE("https://ee-faluhong.projects.earthengine.app/view/isp-ts-evaluation#id=516 2016-&gt;2017;lat=38.570181767474;lon=-92.19427309365682;year=2016;bf=7;level=18;"), "landsat_time_series")</f>
        <v>landsat_time_series</v>
      </c>
      <c r="H517" s="4" t="str">
        <f>HYPERLINK(CONCATENATE("https://jstnbraaten.users.earthengine.app/view/landsat-timeseries-explorer#run=true;lon=-92.19427309365682;lat=38.570181767474;from=01-01;to=12-31;index=NDVI;rgb=NIR%2FRED%2FGREEN;chipwidth=1;"), "landsat_chips")</f>
        <v>landsat_chips</v>
      </c>
      <c r="I517" s="4" t="str">
        <f>HYPERLINK(CONCATENATE("https://livingatlas.arcgis.com/wayback/#ext=-92.19527309365682,38.571181767473995,-92.19327309365681,38.569181767474"), "wayback")</f>
        <v>wayback</v>
      </c>
      <c r="J517" s="9" t="s">
        <v>21</v>
      </c>
      <c r="L517" s="9" t="s">
        <v>15</v>
      </c>
    </row>
    <row r="518" spans="1:13">
      <c r="A518" s="1" t="s">
        <v>117</v>
      </c>
      <c r="B518" s="1">
        <v>517</v>
      </c>
      <c r="C518" s="1">
        <v>2011</v>
      </c>
      <c r="D518" s="1">
        <v>2012</v>
      </c>
      <c r="E518" s="1">
        <v>33.518186371052558</v>
      </c>
      <c r="F518" s="1">
        <v>-84.850476563370563</v>
      </c>
      <c r="G518" s="4" t="str">
        <f>HYPERLINK(CONCATENATE("https://ee-faluhong.projects.earthengine.app/view/isp-ts-evaluation#id=517 2011-&gt;2012;lat=33.51818637105256;lon=-84.85047656337056;year=2011;bf=7;level=18;"), "landsat_time_series")</f>
        <v>landsat_time_series</v>
      </c>
      <c r="H518" s="4" t="str">
        <f>HYPERLINK(CONCATENATE("https://jstnbraaten.users.earthengine.app/view/landsat-timeseries-explorer#run=true;lon=-84.85047656337056;lat=33.51818637105256;from=01-01;to=12-31;index=NDVI;rgb=NIR%2FRED%2FGREEN;chipwidth=1;"), "landsat_chips")</f>
        <v>landsat_chips</v>
      </c>
      <c r="I518" s="4" t="str">
        <f>HYPERLINK(CONCATENATE("https://livingatlas.arcgis.com/wayback/#ext=-84.85147656337057,33.519186371052555,-84.84947656337056,33.51718637105256"), "wayback")</f>
        <v>wayback</v>
      </c>
      <c r="J518" s="9" t="s">
        <v>19</v>
      </c>
      <c r="L518" s="9" t="s">
        <v>15</v>
      </c>
    </row>
    <row r="519" spans="1:13">
      <c r="A519" s="1" t="s">
        <v>117</v>
      </c>
      <c r="B519" s="1">
        <v>518</v>
      </c>
      <c r="C519" s="1">
        <v>2011</v>
      </c>
      <c r="D519" s="1">
        <v>2012</v>
      </c>
      <c r="E519" s="1">
        <v>44.429538665486803</v>
      </c>
      <c r="F519" s="1">
        <v>-120.27355198315441</v>
      </c>
      <c r="G519" s="4" t="str">
        <f>HYPERLINK(CONCATENATE("https://ee-faluhong.projects.earthengine.app/view/isp-ts-evaluation#id=518 2011-&gt;2012;lat=44.4295386654868;lon=-120.2735519831544;year=2011;bf=7;level=18;"), "landsat_time_series")</f>
        <v>landsat_time_series</v>
      </c>
      <c r="H519" s="4" t="str">
        <f>HYPERLINK(CONCATENATE("https://jstnbraaten.users.earthengine.app/view/landsat-timeseries-explorer#run=true;lon=-120.2735519831544;lat=44.4295386654868;from=01-01;to=12-31;index=NDVI;rgb=NIR%2FRED%2FGREEN;chipwidth=1;"), "landsat_chips")</f>
        <v>landsat_chips</v>
      </c>
      <c r="I519" s="4" t="str">
        <f>HYPERLINK(CONCATENATE("https://livingatlas.arcgis.com/wayback/#ext=-120.27455198315441,44.4305386654868,-120.2725519831544,44.428538665486805"), "wayback")</f>
        <v>wayback</v>
      </c>
      <c r="J519" s="9" t="s">
        <v>19</v>
      </c>
      <c r="L519" s="9" t="s">
        <v>15</v>
      </c>
    </row>
    <row r="520" spans="1:13">
      <c r="A520" s="1" t="s">
        <v>117</v>
      </c>
      <c r="B520" s="1">
        <v>519</v>
      </c>
      <c r="C520" s="1">
        <v>2015</v>
      </c>
      <c r="D520" s="1">
        <v>2016</v>
      </c>
      <c r="E520" s="1">
        <v>30.995708644062759</v>
      </c>
      <c r="F520" s="1">
        <v>-97.880108416924656</v>
      </c>
      <c r="G520" s="4" t="str">
        <f>HYPERLINK(CONCATENATE("https://ee-faluhong.projects.earthengine.app/view/isp-ts-evaluation#id=519 2015-&gt;2016;lat=30.99570864406276;lon=-97.88010841692466;year=2015;bf=7;level=18;"), "landsat_time_series")</f>
        <v>landsat_time_series</v>
      </c>
      <c r="H520" s="4" t="str">
        <f>HYPERLINK(CONCATENATE("https://jstnbraaten.users.earthengine.app/view/landsat-timeseries-explorer#run=true;lon=-97.88010841692466;lat=30.99570864406276;from=01-01;to=12-31;index=NDVI;rgb=NIR%2FRED%2FGREEN;chipwidth=1;"), "landsat_chips")</f>
        <v>landsat_chips</v>
      </c>
      <c r="I520" s="4" t="str">
        <f>HYPERLINK(CONCATENATE("https://livingatlas.arcgis.com/wayback/#ext=-97.88110841692466,30.99670864406276,-97.87910841692465,30.994708644062758"), "wayback")</f>
        <v>wayback</v>
      </c>
      <c r="J520" s="9" t="s">
        <v>19</v>
      </c>
      <c r="L520" s="9" t="s">
        <v>24</v>
      </c>
    </row>
    <row r="521" spans="1:13">
      <c r="A521" s="1" t="s">
        <v>117</v>
      </c>
      <c r="B521" s="1">
        <v>520</v>
      </c>
      <c r="C521" s="1">
        <v>2016</v>
      </c>
      <c r="D521" s="1">
        <v>2017</v>
      </c>
      <c r="E521" s="1">
        <v>27.705802345578221</v>
      </c>
      <c r="F521" s="1">
        <v>-82.327020053618298</v>
      </c>
      <c r="G521" s="4" t="str">
        <f>HYPERLINK(CONCATENATE("https://ee-faluhong.projects.earthengine.app/view/isp-ts-evaluation#id=520 2016-&gt;2017;lat=27.70580234557822;lon=-82.3270200536183;year=2016;bf=7;level=18;"), "landsat_time_series")</f>
        <v>landsat_time_series</v>
      </c>
      <c r="H521" s="4" t="str">
        <f>HYPERLINK(CONCATENATE("https://jstnbraaten.users.earthengine.app/view/landsat-timeseries-explorer#run=true;lon=-82.3270200536183;lat=27.70580234557822;from=01-01;to=12-31;index=NDVI;rgb=NIR%2FRED%2FGREEN;chipwidth=1;"), "landsat_chips")</f>
        <v>landsat_chips</v>
      </c>
      <c r="I521" s="4" t="str">
        <f>HYPERLINK(CONCATENATE("https://livingatlas.arcgis.com/wayback/#ext=-82.3280200536183,27.70680234557822,-82.3260200536183,27.70480234557822"), "wayback")</f>
        <v>wayback</v>
      </c>
      <c r="J521" s="9" t="s">
        <v>14</v>
      </c>
      <c r="L521" s="9" t="s">
        <v>15</v>
      </c>
    </row>
    <row r="522" spans="1:13">
      <c r="A522" s="1" t="s">
        <v>117</v>
      </c>
      <c r="B522" s="1">
        <v>521</v>
      </c>
      <c r="C522" s="1">
        <v>2011</v>
      </c>
      <c r="D522" s="1">
        <v>2012</v>
      </c>
      <c r="E522" s="1">
        <v>33.637675493593868</v>
      </c>
      <c r="F522" s="1">
        <v>-98.806317883249022</v>
      </c>
      <c r="G522" s="4" t="str">
        <f>HYPERLINK(CONCATENATE("https://ee-faluhong.projects.earthengine.app/view/isp-ts-evaluation#id=521 2011-&gt;2012;lat=33.63767549359387;lon=-98.80631788324902;year=2011;bf=7;level=18;"), "landsat_time_series")</f>
        <v>landsat_time_series</v>
      </c>
      <c r="H522" s="4" t="str">
        <f>HYPERLINK(CONCATENATE("https://jstnbraaten.users.earthengine.app/view/landsat-timeseries-explorer#run=true;lon=-98.80631788324902;lat=33.63767549359387;from=01-01;to=12-31;index=NDVI;rgb=NIR%2FRED%2FGREEN;chipwidth=1;"), "landsat_chips")</f>
        <v>landsat_chips</v>
      </c>
      <c r="I522" s="4" t="str">
        <f>HYPERLINK(CONCATENATE("https://livingatlas.arcgis.com/wayback/#ext=-98.80731788324903,33.638675493593865,-98.80531788324902,33.63667549359387"), "wayback")</f>
        <v>wayback</v>
      </c>
      <c r="J522" s="9" t="s">
        <v>19</v>
      </c>
      <c r="L522" s="9" t="s">
        <v>15</v>
      </c>
    </row>
    <row r="523" spans="1:13">
      <c r="A523" s="1" t="s">
        <v>117</v>
      </c>
      <c r="B523" s="1">
        <v>522</v>
      </c>
      <c r="C523" s="1">
        <v>2007</v>
      </c>
      <c r="D523" s="1">
        <v>2008</v>
      </c>
      <c r="E523" s="1">
        <v>30.237416045906631</v>
      </c>
      <c r="F523" s="1">
        <v>-83.531037728984842</v>
      </c>
      <c r="G523" s="4" t="str">
        <f>HYPERLINK(CONCATENATE("https://ee-faluhong.projects.earthengine.app/view/isp-ts-evaluation#id=522 2007-&gt;2008;lat=30.23741604590663;lon=-83.53103772898484;year=2007;bf=7;level=18;"), "landsat_time_series")</f>
        <v>landsat_time_series</v>
      </c>
      <c r="H523" s="4" t="str">
        <f>HYPERLINK(CONCATENATE("https://jstnbraaten.users.earthengine.app/view/landsat-timeseries-explorer#run=true;lon=-83.53103772898484;lat=30.23741604590663;from=01-01;to=12-31;index=NDVI;rgb=NIR%2FRED%2FGREEN;chipwidth=1;"), "landsat_chips")</f>
        <v>landsat_chips</v>
      </c>
      <c r="I523" s="4" t="str">
        <f>HYPERLINK(CONCATENATE("https://livingatlas.arcgis.com/wayback/#ext=-83.53203772898485,30.238416045906632,-83.53003772898484,30.23641604590663"), "wayback")</f>
        <v>wayback</v>
      </c>
      <c r="J523" s="9" t="s">
        <v>25</v>
      </c>
      <c r="K523" s="9" t="s">
        <v>26</v>
      </c>
      <c r="L523" s="9" t="s">
        <v>15</v>
      </c>
      <c r="M523" s="9" t="s">
        <v>123</v>
      </c>
    </row>
    <row r="524" spans="1:13">
      <c r="A524" s="1" t="s">
        <v>117</v>
      </c>
      <c r="B524" s="1">
        <v>523</v>
      </c>
      <c r="C524" s="1">
        <v>2002</v>
      </c>
      <c r="D524" s="1">
        <v>2003</v>
      </c>
      <c r="E524" s="1">
        <v>38.003364000292983</v>
      </c>
      <c r="F524" s="1">
        <v>-85.326524798050997</v>
      </c>
      <c r="G524" s="4" t="str">
        <f>HYPERLINK(CONCATENATE("https://ee-faluhong.projects.earthengine.app/view/isp-ts-evaluation#id=523 2002-&gt;2003;lat=38.00336400029298;lon=-85.326524798051;year=2002;bf=7;level=18;"), "landsat_time_series")</f>
        <v>landsat_time_series</v>
      </c>
      <c r="H524" s="4" t="str">
        <f>HYPERLINK(CONCATENATE("https://jstnbraaten.users.earthengine.app/view/landsat-timeseries-explorer#run=true;lon=-85.326524798051;lat=38.00336400029298;from=01-01;to=12-31;index=NDVI;rgb=NIR%2FRED%2FGREEN;chipwidth=1;"), "landsat_chips")</f>
        <v>landsat_chips</v>
      </c>
      <c r="I524" s="4" t="str">
        <f>HYPERLINK(CONCATENATE("https://livingatlas.arcgis.com/wayback/#ext=-85.327524798051,38.00436400029298,-85.32552479805099,38.002364000292985"), "wayback")</f>
        <v>wayback</v>
      </c>
      <c r="J524" s="9" t="s">
        <v>19</v>
      </c>
      <c r="L524" s="9" t="s">
        <v>15</v>
      </c>
    </row>
    <row r="525" spans="1:13">
      <c r="A525" s="1" t="s">
        <v>117</v>
      </c>
      <c r="B525" s="1">
        <v>524</v>
      </c>
      <c r="C525" s="1">
        <v>2006</v>
      </c>
      <c r="D525" s="1">
        <v>2007</v>
      </c>
      <c r="E525" s="1">
        <v>43.740780573342953</v>
      </c>
      <c r="F525" s="1">
        <v>-121.5207805155158</v>
      </c>
      <c r="G525" s="4" t="str">
        <f>HYPERLINK(CONCATENATE("https://ee-faluhong.projects.earthengine.app/view/isp-ts-evaluation#id=524 2006-&gt;2007;lat=43.74078057334295;lon=-121.5207805155158;year=2006;bf=7;level=18;"), "landsat_time_series")</f>
        <v>landsat_time_series</v>
      </c>
      <c r="H525" s="4" t="str">
        <f>HYPERLINK(CONCATENATE("https://jstnbraaten.users.earthengine.app/view/landsat-timeseries-explorer#run=true;lon=-121.5207805155158;lat=43.74078057334295;from=01-01;to=12-31;index=NDVI;rgb=NIR%2FRED%2FGREEN;chipwidth=1;"), "landsat_chips")</f>
        <v>landsat_chips</v>
      </c>
      <c r="I525" s="4" t="str">
        <f>HYPERLINK(CONCATENATE("https://livingatlas.arcgis.com/wayback/#ext=-121.5217805155158,43.74178057334295,-121.51978051551579,43.739780573342955"), "wayback")</f>
        <v>wayback</v>
      </c>
      <c r="J525" s="9" t="s">
        <v>17</v>
      </c>
      <c r="L525" s="9" t="s">
        <v>24</v>
      </c>
    </row>
    <row r="526" spans="1:13">
      <c r="A526" s="1" t="s">
        <v>117</v>
      </c>
      <c r="B526" s="1">
        <v>525</v>
      </c>
      <c r="C526" s="1">
        <v>2008</v>
      </c>
      <c r="D526" s="1">
        <v>2009</v>
      </c>
      <c r="E526" s="1">
        <v>38.20354518223656</v>
      </c>
      <c r="F526" s="1">
        <v>-86.924432235317198</v>
      </c>
      <c r="G526" s="4" t="str">
        <f>HYPERLINK(CONCATENATE("https://ee-faluhong.projects.earthengine.app/view/isp-ts-evaluation#id=525 2008-&gt;2009;lat=38.20354518223656;lon=-86.9244322353172;year=2008;bf=7;level=18;"), "landsat_time_series")</f>
        <v>landsat_time_series</v>
      </c>
      <c r="H526" s="4" t="str">
        <f>HYPERLINK(CONCATENATE("https://jstnbraaten.users.earthengine.app/view/landsat-timeseries-explorer#run=true;lon=-86.9244322353172;lat=38.20354518223656;from=01-01;to=12-31;index=NDVI;rgb=NIR%2FRED%2FGREEN;chipwidth=1;"), "landsat_chips")</f>
        <v>landsat_chips</v>
      </c>
      <c r="I526" s="4" t="str">
        <f>HYPERLINK(CONCATENATE("https://livingatlas.arcgis.com/wayback/#ext=-86.9254322353172,38.20454518223656,-86.9234322353172,38.20254518223656"), "wayback")</f>
        <v>wayback</v>
      </c>
      <c r="J526" s="9" t="s">
        <v>19</v>
      </c>
      <c r="L526" s="9" t="s">
        <v>15</v>
      </c>
    </row>
    <row r="527" spans="1:13">
      <c r="A527" s="1" t="s">
        <v>117</v>
      </c>
      <c r="B527" s="1">
        <v>526</v>
      </c>
      <c r="C527" s="1">
        <v>2007</v>
      </c>
      <c r="D527" s="1">
        <v>2008</v>
      </c>
      <c r="E527" s="1">
        <v>40.207062703689573</v>
      </c>
      <c r="F527" s="1">
        <v>-101.67495833569831</v>
      </c>
      <c r="G527" s="4" t="str">
        <f>HYPERLINK(CONCATENATE("https://ee-faluhong.projects.earthengine.app/view/isp-ts-evaluation#id=526 2007-&gt;2008;lat=40.20706270368957;lon=-101.6749583356983;year=2007;bf=7;level=18;"), "landsat_time_series")</f>
        <v>landsat_time_series</v>
      </c>
      <c r="H527" s="4" t="str">
        <f>HYPERLINK(CONCATENATE("https://jstnbraaten.users.earthengine.app/view/landsat-timeseries-explorer#run=true;lon=-101.6749583356983;lat=40.20706270368957;from=01-01;to=12-31;index=NDVI;rgb=NIR%2FRED%2FGREEN;chipwidth=1;"), "landsat_chips")</f>
        <v>landsat_chips</v>
      </c>
      <c r="I527" s="4" t="str">
        <f>HYPERLINK(CONCATENATE("https://livingatlas.arcgis.com/wayback/#ext=-101.67595833569831,40.20806270368957,-101.6739583356983,40.206062703689575"), "wayback")</f>
        <v>wayback</v>
      </c>
      <c r="J527" s="9" t="s">
        <v>19</v>
      </c>
      <c r="L527" s="9" t="s">
        <v>15</v>
      </c>
    </row>
    <row r="528" spans="1:13">
      <c r="A528" s="1" t="s">
        <v>117</v>
      </c>
      <c r="B528" s="1">
        <v>527</v>
      </c>
      <c r="C528" s="1">
        <v>2018</v>
      </c>
      <c r="D528" s="1">
        <v>2019</v>
      </c>
      <c r="E528" s="1">
        <v>35.064572234119233</v>
      </c>
      <c r="F528" s="1">
        <v>-78.887093146295697</v>
      </c>
      <c r="G528" s="4" t="str">
        <f>HYPERLINK(CONCATENATE("https://ee-faluhong.projects.earthengine.app/view/isp-ts-evaluation#id=527 2018-&gt;2019;lat=35.06457223411923;lon=-78.8870931462957;year=2018;bf=7;level=18;"), "landsat_time_series")</f>
        <v>landsat_time_series</v>
      </c>
      <c r="H528" s="4" t="str">
        <f>HYPERLINK(CONCATENATE("https://jstnbraaten.users.earthengine.app/view/landsat-timeseries-explorer#run=true;lon=-78.8870931462957;lat=35.06457223411923;from=01-01;to=12-31;index=NDVI;rgb=NIR%2FRED%2FGREEN;chipwidth=1;"), "landsat_chips")</f>
        <v>landsat_chips</v>
      </c>
      <c r="I528" s="4" t="str">
        <f>HYPERLINK(CONCATENATE("https://livingatlas.arcgis.com/wayback/#ext=-78.8880931462957,35.06557223411923,-78.88609314629569,35.063572234119235"), "wayback")</f>
        <v>wayback</v>
      </c>
      <c r="J528" s="9" t="s">
        <v>44</v>
      </c>
      <c r="L528" s="9" t="s">
        <v>24</v>
      </c>
      <c r="M528" s="9" t="s">
        <v>124</v>
      </c>
    </row>
    <row r="529" spans="1:13">
      <c r="A529" s="1" t="s">
        <v>117</v>
      </c>
      <c r="B529" s="1">
        <v>528</v>
      </c>
      <c r="C529" s="1">
        <v>2010</v>
      </c>
      <c r="D529" s="1">
        <v>2011</v>
      </c>
      <c r="E529" s="1">
        <v>34.865323417993608</v>
      </c>
      <c r="F529" s="1">
        <v>-120.433535438985</v>
      </c>
      <c r="G529" s="4" t="str">
        <f>HYPERLINK(CONCATENATE("https://ee-faluhong.projects.earthengine.app/view/isp-ts-evaluation#id=528 2010-&gt;2011;lat=34.86532341799361;lon=-120.433535438985;year=2010;bf=7;level=18;"), "landsat_time_series")</f>
        <v>landsat_time_series</v>
      </c>
      <c r="H529" s="4" t="str">
        <f>HYPERLINK(CONCATENATE("https://jstnbraaten.users.earthengine.app/view/landsat-timeseries-explorer#run=true;lon=-120.433535438985;lat=34.86532341799361;from=01-01;to=12-31;index=NDVI;rgb=NIR%2FRED%2FGREEN;chipwidth=1;"), "landsat_chips")</f>
        <v>landsat_chips</v>
      </c>
      <c r="I529" s="4" t="str">
        <f>HYPERLINK(CONCATENATE("https://livingatlas.arcgis.com/wayback/#ext=-120.43453543898501,34.866323417993605,-120.432535438985,34.86432341799361"), "wayback")</f>
        <v>wayback</v>
      </c>
      <c r="J529" s="9" t="s">
        <v>44</v>
      </c>
      <c r="L529" s="9" t="s">
        <v>24</v>
      </c>
      <c r="M529" s="9" t="s">
        <v>125</v>
      </c>
    </row>
    <row r="530" spans="1:13">
      <c r="A530" s="1" t="s">
        <v>117</v>
      </c>
      <c r="B530" s="1">
        <v>529</v>
      </c>
      <c r="C530" s="1">
        <v>2009</v>
      </c>
      <c r="D530" s="1">
        <v>2010</v>
      </c>
      <c r="E530" s="1">
        <v>41.140439988623541</v>
      </c>
      <c r="F530" s="1">
        <v>-80.719630508916254</v>
      </c>
      <c r="G530" s="4" t="str">
        <f>HYPERLINK(CONCATENATE("https://ee-faluhong.projects.earthengine.app/view/isp-ts-evaluation#id=529 2009-&gt;2010;lat=41.14043998862354;lon=-80.71963050891625;year=2009;bf=7;level=18;"), "landsat_time_series")</f>
        <v>landsat_time_series</v>
      </c>
      <c r="H530" s="4" t="str">
        <f>HYPERLINK(CONCATENATE("https://jstnbraaten.users.earthengine.app/view/landsat-timeseries-explorer#run=true;lon=-80.71963050891625;lat=41.14043998862354;from=01-01;to=12-31;index=NDVI;rgb=NIR%2FRED%2FGREEN;chipwidth=1;"), "landsat_chips")</f>
        <v>landsat_chips</v>
      </c>
      <c r="I530" s="4" t="str">
        <f>HYPERLINK(CONCATENATE("https://livingatlas.arcgis.com/wayback/#ext=-80.72063050891626,41.14143998862354,-80.71863050891625,41.13943998862354"), "wayback")</f>
        <v>wayback</v>
      </c>
      <c r="J530" s="9" t="s">
        <v>17</v>
      </c>
      <c r="L530" s="9" t="s">
        <v>15</v>
      </c>
    </row>
    <row r="531" spans="1:13">
      <c r="A531" s="1" t="s">
        <v>117</v>
      </c>
      <c r="B531" s="1">
        <v>530</v>
      </c>
      <c r="C531" s="1">
        <v>2014</v>
      </c>
      <c r="D531" s="1">
        <v>2015</v>
      </c>
      <c r="E531" s="1">
        <v>31.72859174703369</v>
      </c>
      <c r="F531" s="1">
        <v>-85.737014203447131</v>
      </c>
      <c r="G531" s="4" t="str">
        <f>HYPERLINK(CONCATENATE("https://ee-faluhong.projects.earthengine.app/view/isp-ts-evaluation#id=530 2014-&gt;2015;lat=31.72859174703369;lon=-85.73701420344713;year=2014;bf=7;level=18;"), "landsat_time_series")</f>
        <v>landsat_time_series</v>
      </c>
      <c r="H531" s="4" t="str">
        <f>HYPERLINK(CONCATENATE("https://jstnbraaten.users.earthengine.app/view/landsat-timeseries-explorer#run=true;lon=-85.73701420344713;lat=31.72859174703369;from=01-01;to=12-31;index=NDVI;rgb=NIR%2FRED%2FGREEN;chipwidth=1;"), "landsat_chips")</f>
        <v>landsat_chips</v>
      </c>
      <c r="I531" s="4" t="str">
        <f>HYPERLINK(CONCATENATE("https://livingatlas.arcgis.com/wayback/#ext=-85.73801420344714,31.72959174703369,-85.73601420344713,31.72759174703369"), "wayback")</f>
        <v>wayback</v>
      </c>
      <c r="J531" s="9" t="s">
        <v>19</v>
      </c>
      <c r="L531" s="9" t="s">
        <v>15</v>
      </c>
    </row>
    <row r="532" spans="1:13">
      <c r="A532" s="1" t="s">
        <v>117</v>
      </c>
      <c r="B532" s="1">
        <v>531</v>
      </c>
      <c r="C532" s="1">
        <v>2018</v>
      </c>
      <c r="D532" s="1">
        <v>2019</v>
      </c>
      <c r="E532" s="1">
        <v>37.66257631116725</v>
      </c>
      <c r="F532" s="1">
        <v>-121.0902919333214</v>
      </c>
      <c r="G532" s="4" t="str">
        <f>HYPERLINK(CONCATENATE("https://ee-faluhong.projects.earthengine.app/view/isp-ts-evaluation#id=531 2018-&gt;2019;lat=37.66257631116725;lon=-121.0902919333214;year=2018;bf=7;level=18;"), "landsat_time_series")</f>
        <v>landsat_time_series</v>
      </c>
      <c r="H532" s="4" t="str">
        <f>HYPERLINK(CONCATENATE("https://jstnbraaten.users.earthengine.app/view/landsat-timeseries-explorer#run=true;lon=-121.0902919333214;lat=37.66257631116725;from=01-01;to=12-31;index=NDVI;rgb=NIR%2FRED%2FGREEN;chipwidth=1;"), "landsat_chips")</f>
        <v>landsat_chips</v>
      </c>
      <c r="I532" s="4" t="str">
        <f>HYPERLINK(CONCATENATE("https://livingatlas.arcgis.com/wayback/#ext=-121.0912919333214,37.66357631116725,-121.08929193332139,37.66157631116725"), "wayback")</f>
        <v>wayback</v>
      </c>
      <c r="J532" s="9" t="s">
        <v>25</v>
      </c>
      <c r="L532" s="9" t="s">
        <v>24</v>
      </c>
      <c r="M532" s="9" t="s">
        <v>126</v>
      </c>
    </row>
    <row r="533" spans="1:13">
      <c r="A533" s="1" t="s">
        <v>117</v>
      </c>
      <c r="B533" s="1">
        <v>532</v>
      </c>
      <c r="C533" s="1">
        <v>2005</v>
      </c>
      <c r="D533" s="1">
        <v>2006</v>
      </c>
      <c r="E533" s="1">
        <v>47.236858448365894</v>
      </c>
      <c r="F533" s="1">
        <v>-87.99242153846842</v>
      </c>
      <c r="G533" s="4" t="str">
        <f>HYPERLINK(CONCATENATE("https://ee-faluhong.projects.earthengine.app/view/isp-ts-evaluation#id=532 2005-&gt;2006;lat=47.23685844836589;lon=-87.99242153846842;year=2005;bf=7;level=18;"), "landsat_time_series")</f>
        <v>landsat_time_series</v>
      </c>
      <c r="H533" s="4" t="str">
        <f>HYPERLINK(CONCATENATE("https://jstnbraaten.users.earthengine.app/view/landsat-timeseries-explorer#run=true;lon=-87.99242153846842;lat=47.23685844836589;from=01-01;to=12-31;index=NDVI;rgb=NIR%2FRED%2FGREEN;chipwidth=1;"), "landsat_chips")</f>
        <v>landsat_chips</v>
      </c>
      <c r="I533" s="4" t="str">
        <f>HYPERLINK(CONCATENATE("https://livingatlas.arcgis.com/wayback/#ext=-87.99342153846843,47.23785844836589,-87.99142153846842,47.235858448365896"), "wayback")</f>
        <v>wayback</v>
      </c>
      <c r="J533" s="9" t="s">
        <v>19</v>
      </c>
      <c r="L533" s="9" t="s">
        <v>15</v>
      </c>
    </row>
    <row r="534" spans="1:13">
      <c r="A534" s="1" t="s">
        <v>117</v>
      </c>
      <c r="B534" s="1">
        <v>533</v>
      </c>
      <c r="C534" s="1">
        <v>2006</v>
      </c>
      <c r="D534" s="1">
        <v>2007</v>
      </c>
      <c r="E534" s="1">
        <v>35.690686711482783</v>
      </c>
      <c r="F534" s="1">
        <v>-90.067297242625315</v>
      </c>
      <c r="G534" s="4" t="str">
        <f>HYPERLINK(CONCATENATE("https://ee-faluhong.projects.earthengine.app/view/isp-ts-evaluation#id=533 2006-&gt;2007;lat=35.69068671148278;lon=-90.06729724262532;year=2006;bf=7;level=18;"), "landsat_time_series")</f>
        <v>landsat_time_series</v>
      </c>
      <c r="H534" s="4" t="str">
        <f>HYPERLINK(CONCATENATE("https://jstnbraaten.users.earthengine.app/view/landsat-timeseries-explorer#run=true;lon=-90.06729724262532;lat=35.69068671148278;from=01-01;to=12-31;index=NDVI;rgb=NIR%2FRED%2FGREEN;chipwidth=1;"), "landsat_chips")</f>
        <v>landsat_chips</v>
      </c>
      <c r="I534" s="4" t="str">
        <f>HYPERLINK(CONCATENATE("https://livingatlas.arcgis.com/wayback/#ext=-90.06829724262532,35.69168671148278,-90.06629724262531,35.689686711482786"), "wayback")</f>
        <v>wayback</v>
      </c>
      <c r="J534" s="9" t="s">
        <v>17</v>
      </c>
      <c r="L534" s="9" t="s">
        <v>24</v>
      </c>
    </row>
    <row r="535" spans="1:13">
      <c r="A535" s="1" t="s">
        <v>117</v>
      </c>
      <c r="B535" s="1">
        <v>534</v>
      </c>
      <c r="C535" s="1">
        <v>2003</v>
      </c>
      <c r="D535" s="1">
        <v>2004</v>
      </c>
      <c r="E535" s="1">
        <v>31.334863382441711</v>
      </c>
      <c r="F535" s="1">
        <v>-89.056494865750352</v>
      </c>
      <c r="G535" s="4" t="str">
        <f>HYPERLINK(CONCATENATE("https://ee-faluhong.projects.earthengine.app/view/isp-ts-evaluation#id=534 2003-&gt;2004;lat=31.33486338244171;lon=-89.05649486575035;year=2003;bf=7;level=18;"), "landsat_time_series")</f>
        <v>landsat_time_series</v>
      </c>
      <c r="H535" s="4" t="str">
        <f>HYPERLINK(CONCATENATE("https://jstnbraaten.users.earthengine.app/view/landsat-timeseries-explorer#run=true;lon=-89.05649486575035;lat=31.33486338244171;from=01-01;to=12-31;index=NDVI;rgb=NIR%2FRED%2FGREEN;chipwidth=1;"), "landsat_chips")</f>
        <v>landsat_chips</v>
      </c>
      <c r="I535" s="4" t="str">
        <f>HYPERLINK(CONCATENATE("https://livingatlas.arcgis.com/wayback/#ext=-89.05749486575036,31.335863382441712,-89.05549486575035,31.33386338244171"), "wayback")</f>
        <v>wayback</v>
      </c>
      <c r="J535" s="9" t="s">
        <v>34</v>
      </c>
      <c r="L535" s="9" t="s">
        <v>31</v>
      </c>
      <c r="M535" s="9" t="s">
        <v>127</v>
      </c>
    </row>
    <row r="536" spans="1:13">
      <c r="A536" s="1" t="s">
        <v>117</v>
      </c>
      <c r="B536" s="1">
        <v>535</v>
      </c>
      <c r="C536" s="1">
        <v>2009</v>
      </c>
      <c r="D536" s="1">
        <v>2010</v>
      </c>
      <c r="E536" s="1">
        <v>44.962859470718058</v>
      </c>
      <c r="F536" s="1">
        <v>-93.326606410425299</v>
      </c>
      <c r="G536" s="4" t="str">
        <f>HYPERLINK(CONCATENATE("https://ee-faluhong.projects.earthengine.app/view/isp-ts-evaluation#id=535 2009-&gt;2010;lat=44.96285947071806;lon=-93.3266064104253;year=2009;bf=7;level=18;"), "landsat_time_series")</f>
        <v>landsat_time_series</v>
      </c>
      <c r="H536" s="4" t="str">
        <f>HYPERLINK(CONCATENATE("https://jstnbraaten.users.earthengine.app/view/landsat-timeseries-explorer#run=true;lon=-93.3266064104253;lat=44.96285947071806;from=01-01;to=12-31;index=NDVI;rgb=NIR%2FRED%2FGREEN;chipwidth=1;"), "landsat_chips")</f>
        <v>landsat_chips</v>
      </c>
      <c r="I536" s="4" t="str">
        <f>HYPERLINK(CONCATENATE("https://livingatlas.arcgis.com/wayback/#ext=-93.3276064104253,44.963859470718056,-93.3256064104253,44.96185947071806"), "wayback")</f>
        <v>wayback</v>
      </c>
      <c r="J536" s="9" t="s">
        <v>17</v>
      </c>
      <c r="L536" s="9" t="s">
        <v>15</v>
      </c>
    </row>
    <row r="537" spans="1:13">
      <c r="A537" s="1" t="s">
        <v>117</v>
      </c>
      <c r="B537" s="1">
        <v>536</v>
      </c>
      <c r="C537" s="1">
        <v>2010</v>
      </c>
      <c r="D537" s="1">
        <v>2011</v>
      </c>
      <c r="E537" s="1">
        <v>31.393629717048</v>
      </c>
      <c r="F537" s="1">
        <v>-93.912721034254631</v>
      </c>
      <c r="G537" s="4" t="str">
        <f>HYPERLINK(CONCATENATE("https://ee-faluhong.projects.earthengine.app/view/isp-ts-evaluation#id=536 2010-&gt;2011;lat=31.393629717048;lon=-93.91272103425463;year=2010;bf=7;level=18;"), "landsat_time_series")</f>
        <v>landsat_time_series</v>
      </c>
      <c r="H537" s="4" t="str">
        <f>HYPERLINK(CONCATENATE("https://jstnbraaten.users.earthengine.app/view/landsat-timeseries-explorer#run=true;lon=-93.91272103425463;lat=31.393629717048;from=01-01;to=12-31;index=NDVI;rgb=NIR%2FRED%2FGREEN;chipwidth=1;"), "landsat_chips")</f>
        <v>landsat_chips</v>
      </c>
      <c r="I537" s="4" t="str">
        <f>HYPERLINK(CONCATENATE("https://livingatlas.arcgis.com/wayback/#ext=-93.91372103425464,31.394629717048,-93.91172103425463,31.392629717048"), "wayback")</f>
        <v>wayback</v>
      </c>
      <c r="J537" s="9" t="s">
        <v>25</v>
      </c>
      <c r="K537" s="9" t="s">
        <v>26</v>
      </c>
      <c r="L537" s="9" t="s">
        <v>24</v>
      </c>
      <c r="M537" s="9" t="s">
        <v>128</v>
      </c>
    </row>
    <row r="538" spans="1:13">
      <c r="A538" s="1" t="s">
        <v>117</v>
      </c>
      <c r="B538" s="1">
        <v>537</v>
      </c>
      <c r="C538" s="1">
        <v>2009</v>
      </c>
      <c r="D538" s="1">
        <v>2010</v>
      </c>
      <c r="E538" s="1">
        <v>33.148891633516079</v>
      </c>
      <c r="F538" s="1">
        <v>-116.78870345375159</v>
      </c>
      <c r="G538" s="4" t="str">
        <f>HYPERLINK(CONCATENATE("https://ee-faluhong.projects.earthengine.app/view/isp-ts-evaluation#id=537 2009-&gt;2010;lat=33.14889163351608;lon=-116.7887034537516;year=2009;bf=7;level=18;"), "landsat_time_series")</f>
        <v>landsat_time_series</v>
      </c>
      <c r="H538" s="4" t="str">
        <f>HYPERLINK(CONCATENATE("https://jstnbraaten.users.earthengine.app/view/landsat-timeseries-explorer#run=true;lon=-116.7887034537516;lat=33.14889163351608;from=01-01;to=12-31;index=NDVI;rgb=NIR%2FRED%2FGREEN;chipwidth=1;"), "landsat_chips")</f>
        <v>landsat_chips</v>
      </c>
      <c r="I538" s="4" t="str">
        <f>HYPERLINK(CONCATENATE("https://livingatlas.arcgis.com/wayback/#ext=-116.7897034537516,33.14989163351608,-116.78770345375159,33.14789163351608"), "wayback")</f>
        <v>wayback</v>
      </c>
      <c r="J538" s="9" t="s">
        <v>19</v>
      </c>
      <c r="L538" s="9" t="s">
        <v>15</v>
      </c>
    </row>
    <row r="539" spans="1:13">
      <c r="A539" s="1" t="s">
        <v>117</v>
      </c>
      <c r="B539" s="1">
        <v>538</v>
      </c>
      <c r="C539" s="1">
        <v>2011</v>
      </c>
      <c r="D539" s="1">
        <v>2012</v>
      </c>
      <c r="E539" s="1">
        <v>38.07063679534712</v>
      </c>
      <c r="F539" s="1">
        <v>-78.862806088356564</v>
      </c>
      <c r="G539" s="4" t="str">
        <f>HYPERLINK(CONCATENATE("https://ee-faluhong.projects.earthengine.app/view/isp-ts-evaluation#id=538 2011-&gt;2012;lat=38.07063679534712;lon=-78.86280608835656;year=2011;bf=7;level=18;"), "landsat_time_series")</f>
        <v>landsat_time_series</v>
      </c>
      <c r="H539" s="4" t="str">
        <f>HYPERLINK(CONCATENATE("https://jstnbraaten.users.earthengine.app/view/landsat-timeseries-explorer#run=true;lon=-78.86280608835656;lat=38.07063679534712;from=01-01;to=12-31;index=NDVI;rgb=NIR%2FRED%2FGREEN;chipwidth=1;"), "landsat_chips")</f>
        <v>landsat_chips</v>
      </c>
      <c r="I539" s="4" t="str">
        <f>HYPERLINK(CONCATENATE("https://livingatlas.arcgis.com/wayback/#ext=-78.86380608835657,38.07163679534712,-78.86180608835656,38.06963679534712"), "wayback")</f>
        <v>wayback</v>
      </c>
      <c r="J539" s="9" t="s">
        <v>19</v>
      </c>
      <c r="L539" s="9" t="s">
        <v>31</v>
      </c>
      <c r="M539" s="9" t="s">
        <v>96</v>
      </c>
    </row>
    <row r="540" spans="1:13">
      <c r="A540" s="1" t="s">
        <v>117</v>
      </c>
      <c r="B540" s="1">
        <v>539</v>
      </c>
      <c r="C540" s="1">
        <v>2013</v>
      </c>
      <c r="D540" s="1">
        <v>2014</v>
      </c>
      <c r="E540" s="1">
        <v>41.319615231107107</v>
      </c>
      <c r="F540" s="1">
        <v>-81.758520719233957</v>
      </c>
      <c r="G540" s="4" t="str">
        <f>HYPERLINK(CONCATENATE("https://ee-faluhong.projects.earthengine.app/view/isp-ts-evaluation#id=539 2013-&gt;2014;lat=41.31961523110711;lon=-81.75852071923396;year=2013;bf=7;level=18;"), "landsat_time_series")</f>
        <v>landsat_time_series</v>
      </c>
      <c r="H540" s="4" t="str">
        <f>HYPERLINK(CONCATENATE("https://jstnbraaten.users.earthengine.app/view/landsat-timeseries-explorer#run=true;lon=-81.75852071923396;lat=41.31961523110711;from=01-01;to=12-31;index=NDVI;rgb=NIR%2FRED%2FGREEN;chipwidth=1;"), "landsat_chips")</f>
        <v>landsat_chips</v>
      </c>
      <c r="I540" s="4" t="str">
        <f>HYPERLINK(CONCATENATE("https://livingatlas.arcgis.com/wayback/#ext=-81.75952071923396,41.320615231107105,-81.75752071923395,41.31861523110711"), "wayback")</f>
        <v>wayback</v>
      </c>
      <c r="J540" s="9" t="s">
        <v>25</v>
      </c>
      <c r="K540" s="9" t="s">
        <v>26</v>
      </c>
      <c r="L540" s="9" t="s">
        <v>15</v>
      </c>
      <c r="M540" s="9" t="s">
        <v>129</v>
      </c>
    </row>
    <row r="541" spans="1:13">
      <c r="A541" s="1" t="s">
        <v>117</v>
      </c>
      <c r="B541" s="1">
        <v>540</v>
      </c>
      <c r="C541" s="1">
        <v>2015</v>
      </c>
      <c r="D541" s="1">
        <v>2016</v>
      </c>
      <c r="E541" s="1">
        <v>42.204551608872237</v>
      </c>
      <c r="F541" s="1">
        <v>-98.966998482901943</v>
      </c>
      <c r="G541" s="4" t="str">
        <f>HYPERLINK(CONCATENATE("https://ee-faluhong.projects.earthengine.app/view/isp-ts-evaluation#id=540 2015-&gt;2016;lat=42.20455160887224;lon=-98.96699848290194;year=2015;bf=7;level=18;"), "landsat_time_series")</f>
        <v>landsat_time_series</v>
      </c>
      <c r="H541" s="4" t="str">
        <f>HYPERLINK(CONCATENATE("https://jstnbraaten.users.earthengine.app/view/landsat-timeseries-explorer#run=true;lon=-98.96699848290194;lat=42.20455160887224;from=01-01;to=12-31;index=NDVI;rgb=NIR%2FRED%2FGREEN;chipwidth=1;"), "landsat_chips")</f>
        <v>landsat_chips</v>
      </c>
      <c r="I541" s="4" t="str">
        <f>HYPERLINK(CONCATENATE("https://livingatlas.arcgis.com/wayback/#ext=-98.96799848290195,42.205551608872234,-98.96599848290194,42.20355160887224"), "wayback")</f>
        <v>wayback</v>
      </c>
      <c r="J541" s="9" t="s">
        <v>17</v>
      </c>
      <c r="L541" s="9" t="s">
        <v>24</v>
      </c>
    </row>
    <row r="542" spans="1:13">
      <c r="A542" s="1" t="s">
        <v>117</v>
      </c>
      <c r="B542" s="1">
        <v>541</v>
      </c>
      <c r="C542" s="1">
        <v>2016</v>
      </c>
      <c r="D542" s="1">
        <v>2017</v>
      </c>
      <c r="E542" s="1">
        <v>45.384280004614823</v>
      </c>
      <c r="F542" s="1">
        <v>-83.038459365359003</v>
      </c>
      <c r="G542" s="4" t="str">
        <f>HYPERLINK(CONCATENATE("https://ee-faluhong.projects.earthengine.app/view/isp-ts-evaluation#id=541 2016-&gt;2017;lat=45.38428000461482;lon=-83.038459365359;year=2016;bf=7;level=18;"), "landsat_time_series")</f>
        <v>landsat_time_series</v>
      </c>
      <c r="H542" s="4" t="str">
        <f>HYPERLINK(CONCATENATE("https://jstnbraaten.users.earthengine.app/view/landsat-timeseries-explorer#run=true;lon=-83.038459365359;lat=45.38428000461482;from=01-01;to=12-31;index=NDVI;rgb=NIR%2FRED%2FGREEN;chipwidth=1;"), "landsat_chips")</f>
        <v>landsat_chips</v>
      </c>
      <c r="I542" s="4" t="str">
        <f>HYPERLINK(CONCATENATE("https://livingatlas.arcgis.com/wayback/#ext=-83.03945936535901,45.38528000461482,-83.037459365359,45.383280004614825"), "wayback")</f>
        <v>wayback</v>
      </c>
      <c r="J542" s="9" t="s">
        <v>19</v>
      </c>
      <c r="L542" s="9" t="s">
        <v>15</v>
      </c>
    </row>
    <row r="543" spans="1:13">
      <c r="A543" s="1" t="s">
        <v>117</v>
      </c>
      <c r="B543" s="1">
        <v>542</v>
      </c>
      <c r="C543" s="1">
        <v>2007</v>
      </c>
      <c r="D543" s="1">
        <v>2008</v>
      </c>
      <c r="E543" s="1">
        <v>37.777124635710443</v>
      </c>
      <c r="F543" s="1">
        <v>-77.135502439332143</v>
      </c>
      <c r="G543" s="4" t="str">
        <f>HYPERLINK(CONCATENATE("https://ee-faluhong.projects.earthengine.app/view/isp-ts-evaluation#id=542 2007-&gt;2008;lat=37.77712463571044;lon=-77.13550243933214;year=2007;bf=7;level=18;"), "landsat_time_series")</f>
        <v>landsat_time_series</v>
      </c>
      <c r="H543" s="4" t="str">
        <f>HYPERLINK(CONCATENATE("https://jstnbraaten.users.earthengine.app/view/landsat-timeseries-explorer#run=true;lon=-77.13550243933214;lat=37.77712463571044;from=01-01;to=12-31;index=NDVI;rgb=NIR%2FRED%2FGREEN;chipwidth=1;"), "landsat_chips")</f>
        <v>landsat_chips</v>
      </c>
      <c r="I543" s="4" t="str">
        <f>HYPERLINK(CONCATENATE("https://livingatlas.arcgis.com/wayback/#ext=-77.13650243933215,37.77812463571044,-77.13450243933214,37.776124635710445"), "wayback")</f>
        <v>wayback</v>
      </c>
      <c r="J543" s="9" t="s">
        <v>14</v>
      </c>
      <c r="L543" s="9" t="s">
        <v>24</v>
      </c>
    </row>
    <row r="544" spans="1:13">
      <c r="A544" s="1" t="s">
        <v>117</v>
      </c>
      <c r="B544" s="1">
        <v>543</v>
      </c>
      <c r="C544" s="1">
        <v>2013</v>
      </c>
      <c r="D544" s="1">
        <v>2014</v>
      </c>
      <c r="E544" s="1">
        <v>43.283602673860841</v>
      </c>
      <c r="F544" s="1">
        <v>-82.801788703926348</v>
      </c>
      <c r="G544" s="4" t="str">
        <f>HYPERLINK(CONCATENATE("https://ee-faluhong.projects.earthengine.app/view/isp-ts-evaluation#id=543 2013-&gt;2014;lat=43.28360267386084;lon=-82.80178870392635;year=2013;bf=7;level=18;"), "landsat_time_series")</f>
        <v>landsat_time_series</v>
      </c>
      <c r="H544" s="4" t="str">
        <f>HYPERLINK(CONCATENATE("https://jstnbraaten.users.earthengine.app/view/landsat-timeseries-explorer#run=true;lon=-82.80178870392635;lat=43.28360267386084;from=01-01;to=12-31;index=NDVI;rgb=NIR%2FRED%2FGREEN;chipwidth=1;"), "landsat_chips")</f>
        <v>landsat_chips</v>
      </c>
      <c r="I544" s="4" t="str">
        <f>HYPERLINK(CONCATENATE("https://livingatlas.arcgis.com/wayback/#ext=-82.80278870392635,43.28460267386084,-82.80078870392634,43.28260267386084"), "wayback")</f>
        <v>wayback</v>
      </c>
      <c r="J544" s="9" t="s">
        <v>19</v>
      </c>
      <c r="L544" s="9" t="s">
        <v>15</v>
      </c>
    </row>
    <row r="545" spans="1:13">
      <c r="A545" s="1" t="s">
        <v>117</v>
      </c>
      <c r="B545" s="1">
        <v>544</v>
      </c>
      <c r="C545" s="1">
        <v>2007</v>
      </c>
      <c r="D545" s="1">
        <v>2008</v>
      </c>
      <c r="E545" s="1">
        <v>40.407543218655917</v>
      </c>
      <c r="F545" s="1">
        <v>-79.400459688949127</v>
      </c>
      <c r="G545" s="4" t="str">
        <f>HYPERLINK(CONCATENATE("https://ee-faluhong.projects.earthengine.app/view/isp-ts-evaluation#id=544 2007-&gt;2008;lat=40.40754321865592;lon=-79.40045968894913;year=2007;bf=7;level=18;"), "landsat_time_series")</f>
        <v>landsat_time_series</v>
      </c>
      <c r="H545" s="4" t="str">
        <f>HYPERLINK(CONCATENATE("https://jstnbraaten.users.earthengine.app/view/landsat-timeseries-explorer#run=true;lon=-79.40045968894913;lat=40.40754321865592;from=01-01;to=12-31;index=NDVI;rgb=NIR%2FRED%2FGREEN;chipwidth=1;"), "landsat_chips")</f>
        <v>landsat_chips</v>
      </c>
      <c r="I545" s="4" t="str">
        <f>HYPERLINK(CONCATENATE("https://livingatlas.arcgis.com/wayback/#ext=-79.40145968894913,40.408543218655915,-79.39945968894912,40.40654321865592"), "wayback")</f>
        <v>wayback</v>
      </c>
      <c r="J545" s="9" t="s">
        <v>21</v>
      </c>
      <c r="L545" s="9" t="s">
        <v>24</v>
      </c>
    </row>
    <row r="546" spans="1:13">
      <c r="A546" s="1" t="s">
        <v>117</v>
      </c>
      <c r="B546" s="1">
        <v>545</v>
      </c>
      <c r="C546" s="1">
        <v>2013</v>
      </c>
      <c r="D546" s="1">
        <v>2014</v>
      </c>
      <c r="E546" s="1">
        <v>36.540285688691739</v>
      </c>
      <c r="F546" s="1">
        <v>-110.8399734253771</v>
      </c>
      <c r="G546" s="4" t="str">
        <f>HYPERLINK(CONCATENATE("https://ee-faluhong.projects.earthengine.app/view/isp-ts-evaluation#id=545 2013-&gt;2014;lat=36.54028568869174;lon=-110.8399734253771;year=2013;bf=7;level=18;"), "landsat_time_series")</f>
        <v>landsat_time_series</v>
      </c>
      <c r="H546" s="4" t="str">
        <f>HYPERLINK(CONCATENATE("https://jstnbraaten.users.earthengine.app/view/landsat-timeseries-explorer#run=true;lon=-110.8399734253771;lat=36.54028568869174;from=01-01;to=12-31;index=NDVI;rgb=NIR%2FRED%2FGREEN;chipwidth=1;"), "landsat_chips")</f>
        <v>landsat_chips</v>
      </c>
      <c r="I546" s="4" t="str">
        <f>HYPERLINK(CONCATENATE("https://livingatlas.arcgis.com/wayback/#ext=-110.8409734253771,36.54128568869174,-110.83897342537709,36.53928568869174"), "wayback")</f>
        <v>wayback</v>
      </c>
      <c r="J546" s="9" t="s">
        <v>19</v>
      </c>
      <c r="L546" s="9" t="s">
        <v>15</v>
      </c>
    </row>
    <row r="547" spans="1:13">
      <c r="A547" s="1" t="s">
        <v>117</v>
      </c>
      <c r="B547" s="1">
        <v>546</v>
      </c>
      <c r="C547" s="1">
        <v>2015</v>
      </c>
      <c r="D547" s="1">
        <v>2016</v>
      </c>
      <c r="E547" s="1">
        <v>37.136749604793508</v>
      </c>
      <c r="F547" s="1">
        <v>-80.540423632551239</v>
      </c>
      <c r="G547" s="4" t="str">
        <f>HYPERLINK(CONCATENATE("https://ee-faluhong.projects.earthengine.app/view/isp-ts-evaluation#id=546 2015-&gt;2016;lat=37.13674960479351;lon=-80.54042363255124;year=2015;bf=7;level=18;"), "landsat_time_series")</f>
        <v>landsat_time_series</v>
      </c>
      <c r="H547" s="4" t="str">
        <f>HYPERLINK(CONCATENATE("https://jstnbraaten.users.earthengine.app/view/landsat-timeseries-explorer#run=true;lon=-80.54042363255124;lat=37.13674960479351;from=01-01;to=12-31;index=NDVI;rgb=NIR%2FRED%2FGREEN;chipwidth=1;"), "landsat_chips")</f>
        <v>landsat_chips</v>
      </c>
      <c r="I547" s="4" t="str">
        <f>HYPERLINK(CONCATENATE("https://livingatlas.arcgis.com/wayback/#ext=-80.54142363255124,37.137749604793505,-80.53942363255123,37.13574960479351"), "wayback")</f>
        <v>wayback</v>
      </c>
      <c r="J547" s="9" t="s">
        <v>25</v>
      </c>
      <c r="K547" s="9" t="s">
        <v>26</v>
      </c>
      <c r="L547" s="9" t="s">
        <v>31</v>
      </c>
      <c r="M547" s="9" t="s">
        <v>130</v>
      </c>
    </row>
    <row r="548" spans="1:13">
      <c r="A548" s="1" t="s">
        <v>117</v>
      </c>
      <c r="B548" s="1">
        <v>547</v>
      </c>
      <c r="C548" s="1">
        <v>2007</v>
      </c>
      <c r="D548" s="1">
        <v>2008</v>
      </c>
      <c r="E548" s="1">
        <v>26.548209308399219</v>
      </c>
      <c r="F548" s="1">
        <v>-80.946409605368743</v>
      </c>
      <c r="G548" s="4" t="str">
        <f>HYPERLINK(CONCATENATE("https://ee-faluhong.projects.earthengine.app/view/isp-ts-evaluation#id=547 2007-&gt;2008;lat=26.54820930839922;lon=-80.94640960536874;year=2007;bf=7;level=18;"), "landsat_time_series")</f>
        <v>landsat_time_series</v>
      </c>
      <c r="H548" s="4" t="str">
        <f>HYPERLINK(CONCATENATE("https://jstnbraaten.users.earthengine.app/view/landsat-timeseries-explorer#run=true;lon=-80.94640960536874;lat=26.54820930839922;from=01-01;to=12-31;index=NDVI;rgb=NIR%2FRED%2FGREEN;chipwidth=1;"), "landsat_chips")</f>
        <v>landsat_chips</v>
      </c>
      <c r="I548" s="4" t="str">
        <f>HYPERLINK(CONCATENATE("https://livingatlas.arcgis.com/wayback/#ext=-80.94740960536875,26.54920930839922,-80.94540960536874,26.547209308399218"), "wayback")</f>
        <v>wayback</v>
      </c>
      <c r="J548" s="9" t="s">
        <v>19</v>
      </c>
      <c r="L548" s="9" t="s">
        <v>15</v>
      </c>
    </row>
    <row r="549" spans="1:13">
      <c r="A549" s="1" t="s">
        <v>117</v>
      </c>
      <c r="B549" s="1">
        <v>548</v>
      </c>
      <c r="C549" s="1">
        <v>2000</v>
      </c>
      <c r="D549" s="1">
        <v>2001</v>
      </c>
      <c r="E549" s="1">
        <v>38.677833810364803</v>
      </c>
      <c r="F549" s="1">
        <v>-121.36403758527921</v>
      </c>
      <c r="G549" s="4" t="str">
        <f>HYPERLINK(CONCATENATE("https://ee-faluhong.projects.earthengine.app/view/isp-ts-evaluation#id=548 2000-&gt;2001;lat=38.6778338103648;lon=-121.3640375852792;year=2000;bf=7;level=18;"), "landsat_time_series")</f>
        <v>landsat_time_series</v>
      </c>
      <c r="H549" s="4" t="str">
        <f>HYPERLINK(CONCATENATE("https://jstnbraaten.users.earthengine.app/view/landsat-timeseries-explorer#run=true;lon=-121.3640375852792;lat=38.6778338103648;from=01-01;to=12-31;index=NDVI;rgb=NIR%2FRED%2FGREEN;chipwidth=1;"), "landsat_chips")</f>
        <v>landsat_chips</v>
      </c>
      <c r="I549" s="4" t="str">
        <f>HYPERLINK(CONCATENATE("https://livingatlas.arcgis.com/wayback/#ext=-121.36503758527921,38.6788338103648,-121.3630375852792,38.676833810364805"), "wayback")</f>
        <v>wayback</v>
      </c>
      <c r="J549" s="9" t="s">
        <v>25</v>
      </c>
      <c r="K549" s="9" t="s">
        <v>26</v>
      </c>
      <c r="L549" s="9" t="s">
        <v>31</v>
      </c>
    </row>
    <row r="550" spans="1:13">
      <c r="A550" s="1" t="s">
        <v>117</v>
      </c>
      <c r="B550" s="1">
        <v>549</v>
      </c>
      <c r="C550" s="1">
        <v>2015</v>
      </c>
      <c r="D550" s="1">
        <v>2016</v>
      </c>
      <c r="E550" s="1">
        <v>28.256918717973239</v>
      </c>
      <c r="F550" s="1">
        <v>-81.596962242382602</v>
      </c>
      <c r="G550" s="4" t="str">
        <f>HYPERLINK(CONCATENATE("https://ee-faluhong.projects.earthengine.app/view/isp-ts-evaluation#id=549 2015-&gt;2016;lat=28.25691871797324;lon=-81.5969622423826;year=2015;bf=7;level=18;"), "landsat_time_series")</f>
        <v>landsat_time_series</v>
      </c>
      <c r="H550" s="4" t="str">
        <f>HYPERLINK(CONCATENATE("https://jstnbraaten.users.earthengine.app/view/landsat-timeseries-explorer#run=true;lon=-81.5969622423826;lat=28.25691871797324;from=01-01;to=12-31;index=NDVI;rgb=NIR%2FRED%2FGREEN;chipwidth=1;"), "landsat_chips")</f>
        <v>landsat_chips</v>
      </c>
      <c r="I550" s="4" t="str">
        <f>HYPERLINK(CONCATENATE("https://livingatlas.arcgis.com/wayback/#ext=-81.59796224238261,28.25791871797324,-81.5959622423826,28.255918717973238"), "wayback")</f>
        <v>wayback</v>
      </c>
      <c r="J550" s="9" t="s">
        <v>19</v>
      </c>
      <c r="L550" s="9" t="s">
        <v>15</v>
      </c>
    </row>
    <row r="551" spans="1:13">
      <c r="A551" s="1" t="s">
        <v>117</v>
      </c>
      <c r="B551" s="1">
        <v>550</v>
      </c>
      <c r="C551" s="1">
        <v>2011</v>
      </c>
      <c r="D551" s="1">
        <v>2012</v>
      </c>
      <c r="E551" s="1">
        <v>46.585702505478331</v>
      </c>
      <c r="F551" s="1">
        <v>-85.265550954120826</v>
      </c>
      <c r="G551" s="4" t="str">
        <f>HYPERLINK(CONCATENATE("https://ee-faluhong.projects.earthengine.app/view/isp-ts-evaluation#id=550 2011-&gt;2012;lat=46.58570250547833;lon=-85.26555095412083;year=2011;bf=7;level=18;"), "landsat_time_series")</f>
        <v>landsat_time_series</v>
      </c>
      <c r="H551" s="4" t="str">
        <f>HYPERLINK(CONCATENATE("https://jstnbraaten.users.earthengine.app/view/landsat-timeseries-explorer#run=true;lon=-85.26555095412083;lat=46.58570250547833;from=01-01;to=12-31;index=NDVI;rgb=NIR%2FRED%2FGREEN;chipwidth=1;"), "landsat_chips")</f>
        <v>landsat_chips</v>
      </c>
      <c r="I551" s="4" t="str">
        <f>HYPERLINK(CONCATENATE("https://livingatlas.arcgis.com/wayback/#ext=-85.26655095412083,46.58670250547833,-85.26455095412082,46.58470250547833"), "wayback")</f>
        <v>wayback</v>
      </c>
      <c r="J551" s="9" t="s">
        <v>19</v>
      </c>
      <c r="L551" s="9" t="s">
        <v>15</v>
      </c>
    </row>
    <row r="552" spans="1:13">
      <c r="A552" s="1" t="s">
        <v>117</v>
      </c>
      <c r="B552" s="1">
        <v>551</v>
      </c>
      <c r="C552" s="1">
        <v>2005</v>
      </c>
      <c r="D552" s="1">
        <v>2006</v>
      </c>
      <c r="E552" s="1">
        <v>32.087546142646218</v>
      </c>
      <c r="F552" s="1">
        <v>-88.077567973009678</v>
      </c>
      <c r="G552" s="4" t="str">
        <f>HYPERLINK(CONCATENATE("https://ee-faluhong.projects.earthengine.app/view/isp-ts-evaluation#id=551 2005-&gt;2006;lat=32.08754614264622;lon=-88.07756797300968;year=2005;bf=7;level=18;"), "landsat_time_series")</f>
        <v>landsat_time_series</v>
      </c>
      <c r="H552" s="4" t="str">
        <f>HYPERLINK(CONCATENATE("https://jstnbraaten.users.earthengine.app/view/landsat-timeseries-explorer#run=true;lon=-88.07756797300968;lat=32.08754614264622;from=01-01;to=12-31;index=NDVI;rgb=NIR%2FRED%2FGREEN;chipwidth=1;"), "landsat_chips")</f>
        <v>landsat_chips</v>
      </c>
      <c r="I552" s="4" t="str">
        <f>HYPERLINK(CONCATENATE("https://livingatlas.arcgis.com/wayback/#ext=-88.07856797300968,32.088546142646216,-88.07656797300967,32.08654614264622"), "wayback")</f>
        <v>wayback</v>
      </c>
      <c r="J552" s="9" t="s">
        <v>19</v>
      </c>
      <c r="L552" s="9" t="s">
        <v>15</v>
      </c>
    </row>
    <row r="553" spans="1:13">
      <c r="A553" s="1" t="s">
        <v>117</v>
      </c>
      <c r="B553" s="1">
        <v>552</v>
      </c>
      <c r="C553" s="1">
        <v>2016</v>
      </c>
      <c r="D553" s="1">
        <v>2017</v>
      </c>
      <c r="E553" s="1">
        <v>33.889484219919822</v>
      </c>
      <c r="F553" s="1">
        <v>-88.143415939439436</v>
      </c>
      <c r="G553" s="4" t="str">
        <f>HYPERLINK(CONCATENATE("https://ee-faluhong.projects.earthengine.app/view/isp-ts-evaluation#id=552 2016-&gt;2017;lat=33.88948421991982;lon=-88.14341593943944;year=2016;bf=7;level=18;"), "landsat_time_series")</f>
        <v>landsat_time_series</v>
      </c>
      <c r="H553" s="4" t="str">
        <f>HYPERLINK(CONCATENATE("https://jstnbraaten.users.earthengine.app/view/landsat-timeseries-explorer#run=true;lon=-88.14341593943944;lat=33.88948421991982;from=01-01;to=12-31;index=NDVI;rgb=NIR%2FRED%2FGREEN;chipwidth=1;"), "landsat_chips")</f>
        <v>landsat_chips</v>
      </c>
      <c r="I553" s="4" t="str">
        <f>HYPERLINK(CONCATENATE("https://livingatlas.arcgis.com/wayback/#ext=-88.14441593943944,33.89048421991982,-88.14241593943943,33.888484219919825"), "wayback")</f>
        <v>wayback</v>
      </c>
      <c r="J553" s="9" t="s">
        <v>19</v>
      </c>
      <c r="L553" s="9" t="s">
        <v>15</v>
      </c>
    </row>
    <row r="554" spans="1:13">
      <c r="A554" s="1" t="s">
        <v>117</v>
      </c>
      <c r="B554" s="1">
        <v>553</v>
      </c>
      <c r="C554" s="1">
        <v>2006</v>
      </c>
      <c r="D554" s="1">
        <v>2007</v>
      </c>
      <c r="E554" s="1">
        <v>38.941413931893088</v>
      </c>
      <c r="F554" s="1">
        <v>-74.98914334005444</v>
      </c>
      <c r="G554" s="4" t="str">
        <f>HYPERLINK(CONCATENATE("https://ee-faluhong.projects.earthengine.app/view/isp-ts-evaluation#id=553 2006-&gt;2007;lat=38.94141393189309;lon=-74.98914334005444;year=2006;bf=7;level=18;"), "landsat_time_series")</f>
        <v>landsat_time_series</v>
      </c>
      <c r="H554" s="4" t="str">
        <f>HYPERLINK(CONCATENATE("https://jstnbraaten.users.earthengine.app/view/landsat-timeseries-explorer#run=true;lon=-74.98914334005444;lat=38.94141393189309;from=01-01;to=12-31;index=NDVI;rgb=NIR%2FRED%2FGREEN;chipwidth=1;"), "landsat_chips")</f>
        <v>landsat_chips</v>
      </c>
      <c r="I554" s="4" t="str">
        <f>HYPERLINK(CONCATENATE("https://livingatlas.arcgis.com/wayback/#ext=-74.99014334005444,38.942413931893086,-74.98814334005444,38.94041393189309"), "wayback")</f>
        <v>wayback</v>
      </c>
      <c r="J554" s="9" t="s">
        <v>19</v>
      </c>
      <c r="L554" s="9" t="s">
        <v>15</v>
      </c>
    </row>
    <row r="555" spans="1:13">
      <c r="A555" s="1" t="s">
        <v>117</v>
      </c>
      <c r="B555" s="1">
        <v>554</v>
      </c>
      <c r="C555" s="1">
        <v>2012</v>
      </c>
      <c r="D555" s="1">
        <v>2013</v>
      </c>
      <c r="E555" s="1">
        <v>31.500922273863221</v>
      </c>
      <c r="F555" s="1">
        <v>-108.4976155013036</v>
      </c>
      <c r="G555" s="4" t="str">
        <f>HYPERLINK(CONCATENATE("https://ee-faluhong.projects.earthengine.app/view/isp-ts-evaluation#id=554 2012-&gt;2013;lat=31.50092227386322;lon=-108.4976155013036;year=2012;bf=7;level=18;"), "landsat_time_series")</f>
        <v>landsat_time_series</v>
      </c>
      <c r="H555" s="4" t="str">
        <f>HYPERLINK(CONCATENATE("https://jstnbraaten.users.earthengine.app/view/landsat-timeseries-explorer#run=true;lon=-108.4976155013036;lat=31.50092227386322;from=01-01;to=12-31;index=NDVI;rgb=NIR%2FRED%2FGREEN;chipwidth=1;"), "landsat_chips")</f>
        <v>landsat_chips</v>
      </c>
      <c r="I555" s="4" t="str">
        <f>HYPERLINK(CONCATENATE("https://livingatlas.arcgis.com/wayback/#ext=-108.4986155013036,31.501922273863222,-108.4966155013036,31.49992227386322"), "wayback")</f>
        <v>wayback</v>
      </c>
      <c r="J555" s="9" t="s">
        <v>19</v>
      </c>
      <c r="L555" s="9" t="s">
        <v>15</v>
      </c>
    </row>
    <row r="556" spans="1:13">
      <c r="A556" s="1" t="s">
        <v>117</v>
      </c>
      <c r="B556" s="1">
        <v>555</v>
      </c>
      <c r="C556" s="1">
        <v>2010</v>
      </c>
      <c r="D556" s="1">
        <v>2011</v>
      </c>
      <c r="E556" s="1">
        <v>40.542423342773901</v>
      </c>
      <c r="F556" s="1">
        <v>-101.8165796580807</v>
      </c>
      <c r="G556" s="4" t="str">
        <f>HYPERLINK(CONCATENATE("https://ee-faluhong.projects.earthengine.app/view/isp-ts-evaluation#id=555 2010-&gt;2011;lat=40.5424233427739;lon=-101.8165796580807;year=2010;bf=7;level=18;"), "landsat_time_series")</f>
        <v>landsat_time_series</v>
      </c>
      <c r="H556" s="4" t="str">
        <f>HYPERLINK(CONCATENATE("https://jstnbraaten.users.earthengine.app/view/landsat-timeseries-explorer#run=true;lon=-101.8165796580807;lat=40.5424233427739;from=01-01;to=12-31;index=NDVI;rgb=NIR%2FRED%2FGREEN;chipwidth=1;"), "landsat_chips")</f>
        <v>landsat_chips</v>
      </c>
      <c r="I556" s="4" t="str">
        <f>HYPERLINK(CONCATENATE("https://livingatlas.arcgis.com/wayback/#ext=-101.8175796580807,40.5434233427739,-101.8155796580807,40.5414233427739"), "wayback")</f>
        <v>wayback</v>
      </c>
      <c r="J556" s="9" t="s">
        <v>19</v>
      </c>
      <c r="L556" s="9" t="s">
        <v>15</v>
      </c>
    </row>
    <row r="557" spans="1:13">
      <c r="A557" s="1" t="s">
        <v>117</v>
      </c>
      <c r="B557" s="1">
        <v>556</v>
      </c>
      <c r="C557" s="1">
        <v>2015</v>
      </c>
      <c r="D557" s="1">
        <v>2016</v>
      </c>
      <c r="E557" s="1">
        <v>30.211864843625591</v>
      </c>
      <c r="F557" s="1">
        <v>-81.756104093373921</v>
      </c>
      <c r="G557" s="4" t="str">
        <f>HYPERLINK(CONCATENATE("https://ee-faluhong.projects.earthengine.app/view/isp-ts-evaluation#id=556 2015-&gt;2016;lat=30.21186484362559;lon=-81.75610409337392;year=2015;bf=7;level=18;"), "landsat_time_series")</f>
        <v>landsat_time_series</v>
      </c>
      <c r="H557" s="4" t="str">
        <f>HYPERLINK(CONCATENATE("https://jstnbraaten.users.earthengine.app/view/landsat-timeseries-explorer#run=true;lon=-81.75610409337392;lat=30.21186484362559;from=01-01;to=12-31;index=NDVI;rgb=NIR%2FRED%2FGREEN;chipwidth=1;"), "landsat_chips")</f>
        <v>landsat_chips</v>
      </c>
      <c r="I557" s="4" t="str">
        <f>HYPERLINK(CONCATENATE("https://livingatlas.arcgis.com/wayback/#ext=-81.75710409337393,30.212864843625592,-81.75510409337392,30.21086484362559"), "wayback")</f>
        <v>wayback</v>
      </c>
      <c r="J557" s="9" t="s">
        <v>14</v>
      </c>
      <c r="L557" s="9" t="s">
        <v>15</v>
      </c>
    </row>
    <row r="558" spans="1:13">
      <c r="A558" s="1" t="s">
        <v>117</v>
      </c>
      <c r="B558" s="1">
        <v>557</v>
      </c>
      <c r="C558" s="1">
        <v>2010</v>
      </c>
      <c r="D558" s="1">
        <v>2011</v>
      </c>
      <c r="E558" s="1">
        <v>39.226399313581148</v>
      </c>
      <c r="F558" s="1">
        <v>-80.999316088933142</v>
      </c>
      <c r="G558" s="4" t="str">
        <f>HYPERLINK(CONCATENATE("https://ee-faluhong.projects.earthengine.app/view/isp-ts-evaluation#id=557 2010-&gt;2011;lat=39.22639931358115;lon=-80.99931608893314;year=2010;bf=7;level=18;"), "landsat_time_series")</f>
        <v>landsat_time_series</v>
      </c>
      <c r="H558" s="4" t="str">
        <f>HYPERLINK(CONCATENATE("https://jstnbraaten.users.earthengine.app/view/landsat-timeseries-explorer#run=true;lon=-80.99931608893314;lat=39.22639931358115;from=01-01;to=12-31;index=NDVI;rgb=NIR%2FRED%2FGREEN;chipwidth=1;"), "landsat_chips")</f>
        <v>landsat_chips</v>
      </c>
      <c r="I558" s="4" t="str">
        <f>HYPERLINK(CONCATENATE("https://livingatlas.arcgis.com/wayback/#ext=-81.00031608893315,39.227399313581145,-80.99831608893314,39.22539931358115"), "wayback")</f>
        <v>wayback</v>
      </c>
      <c r="J558" s="9" t="s">
        <v>19</v>
      </c>
      <c r="L558" s="9" t="s">
        <v>15</v>
      </c>
    </row>
    <row r="559" spans="1:13">
      <c r="A559" s="1" t="s">
        <v>117</v>
      </c>
      <c r="B559" s="1">
        <v>558</v>
      </c>
      <c r="C559" s="1">
        <v>2003</v>
      </c>
      <c r="D559" s="1">
        <v>2004</v>
      </c>
      <c r="E559" s="1">
        <v>45.187216773456313</v>
      </c>
      <c r="F559" s="1">
        <v>-85.510578291381819</v>
      </c>
      <c r="G559" s="4" t="str">
        <f>HYPERLINK(CONCATENATE("https://ee-faluhong.projects.earthengine.app/view/isp-ts-evaluation#id=558 2003-&gt;2004;lat=45.18721677345631;lon=-85.51057829138182;year=2003;bf=7;level=18;"), "landsat_time_series")</f>
        <v>landsat_time_series</v>
      </c>
      <c r="H559" s="4" t="str">
        <f>HYPERLINK(CONCATENATE("https://jstnbraaten.users.earthengine.app/view/landsat-timeseries-explorer#run=true;lon=-85.51057829138182;lat=45.18721677345631;from=01-01;to=12-31;index=NDVI;rgb=NIR%2FRED%2FGREEN;chipwidth=1;"), "landsat_chips")</f>
        <v>landsat_chips</v>
      </c>
      <c r="I559" s="4" t="str">
        <f>HYPERLINK(CONCATENATE("https://livingatlas.arcgis.com/wayback/#ext=-85.51157829138182,45.18821677345631,-85.50957829138181,45.186216773456316"), "wayback")</f>
        <v>wayback</v>
      </c>
      <c r="J559" s="9" t="s">
        <v>19</v>
      </c>
      <c r="L559" s="9" t="s">
        <v>15</v>
      </c>
    </row>
    <row r="560" spans="1:13">
      <c r="A560" s="1" t="s">
        <v>117</v>
      </c>
      <c r="B560" s="1">
        <v>559</v>
      </c>
      <c r="C560" s="1">
        <v>2003</v>
      </c>
      <c r="D560" s="1">
        <v>2004</v>
      </c>
      <c r="E560" s="1">
        <v>48.621254303555112</v>
      </c>
      <c r="F560" s="1">
        <v>-96.230258573967305</v>
      </c>
      <c r="G560" s="4" t="str">
        <f>HYPERLINK(CONCATENATE("https://ee-faluhong.projects.earthengine.app/view/isp-ts-evaluation#id=559 2003-&gt;2004;lat=48.62125430355511;lon=-96.2302585739673;year=2003;bf=7;level=18;"), "landsat_time_series")</f>
        <v>landsat_time_series</v>
      </c>
      <c r="H560" s="4" t="str">
        <f>HYPERLINK(CONCATENATE("https://jstnbraaten.users.earthengine.app/view/landsat-timeseries-explorer#run=true;lon=-96.2302585739673;lat=48.62125430355511;from=01-01;to=12-31;index=NDVI;rgb=NIR%2FRED%2FGREEN;chipwidth=1;"), "landsat_chips")</f>
        <v>landsat_chips</v>
      </c>
      <c r="I560" s="4" t="str">
        <f>HYPERLINK(CONCATENATE("https://livingatlas.arcgis.com/wayback/#ext=-96.23125857396731,48.62225430355511,-96.2292585739673,48.620254303555114"), "wayback")</f>
        <v>wayback</v>
      </c>
      <c r="J560" s="9" t="s">
        <v>19</v>
      </c>
      <c r="L560" s="9" t="s">
        <v>15</v>
      </c>
    </row>
    <row r="561" spans="1:13">
      <c r="A561" s="1" t="s">
        <v>117</v>
      </c>
      <c r="B561" s="1">
        <v>560</v>
      </c>
      <c r="C561" s="1">
        <v>2018</v>
      </c>
      <c r="D561" s="1">
        <v>2019</v>
      </c>
      <c r="E561" s="1">
        <v>43.555921581892207</v>
      </c>
      <c r="F561" s="1">
        <v>-85.646190262926567</v>
      </c>
      <c r="G561" s="4" t="str">
        <f>HYPERLINK(CONCATENATE("https://ee-faluhong.projects.earthengine.app/view/isp-ts-evaluation#id=560 2018-&gt;2019;lat=43.55592158189221;lon=-85.64619026292657;year=2018;bf=7;level=18;"), "landsat_time_series")</f>
        <v>landsat_time_series</v>
      </c>
      <c r="H561" s="4" t="str">
        <f>HYPERLINK(CONCATENATE("https://jstnbraaten.users.earthengine.app/view/landsat-timeseries-explorer#run=true;lon=-85.64619026292657;lat=43.55592158189221;from=01-01;to=12-31;index=NDVI;rgb=NIR%2FRED%2FGREEN;chipwidth=1;"), "landsat_chips")</f>
        <v>landsat_chips</v>
      </c>
      <c r="I561" s="4" t="str">
        <f>HYPERLINK(CONCATENATE("https://livingatlas.arcgis.com/wayback/#ext=-85.64719026292657,43.556921581892205,-85.64519026292656,43.55492158189221"), "wayback")</f>
        <v>wayback</v>
      </c>
      <c r="J561" s="9" t="s">
        <v>17</v>
      </c>
      <c r="L561" s="9" t="s">
        <v>24</v>
      </c>
      <c r="M561" s="9" t="s">
        <v>131</v>
      </c>
    </row>
    <row r="562" spans="1:13">
      <c r="A562" s="1" t="s">
        <v>117</v>
      </c>
      <c r="B562" s="1">
        <v>561</v>
      </c>
      <c r="C562" s="1">
        <v>2009</v>
      </c>
      <c r="D562" s="1">
        <v>2010</v>
      </c>
      <c r="E562" s="1">
        <v>37.739969689284202</v>
      </c>
      <c r="F562" s="1">
        <v>-122.371315998116</v>
      </c>
      <c r="G562" s="4" t="str">
        <f>HYPERLINK(CONCATENATE("https://ee-faluhong.projects.earthengine.app/view/isp-ts-evaluation#id=561 2009-&gt;2010;lat=37.7399696892842;lon=-122.371315998116;year=2009;bf=7;level=18;"), "landsat_time_series")</f>
        <v>landsat_time_series</v>
      </c>
      <c r="H562" s="4" t="str">
        <f>HYPERLINK(CONCATENATE("https://jstnbraaten.users.earthengine.app/view/landsat-timeseries-explorer#run=true;lon=-122.371315998116;lat=37.7399696892842;from=01-01;to=12-31;index=NDVI;rgb=NIR%2FRED%2FGREEN;chipwidth=1;"), "landsat_chips")</f>
        <v>landsat_chips</v>
      </c>
      <c r="I562" s="4" t="str">
        <f>HYPERLINK(CONCATENATE("https://livingatlas.arcgis.com/wayback/#ext=-122.37231599811601,37.7409696892842,-122.370315998116,37.738969689284204"), "wayback")</f>
        <v>wayback</v>
      </c>
      <c r="J562" s="9" t="s">
        <v>17</v>
      </c>
      <c r="L562" s="9" t="s">
        <v>15</v>
      </c>
    </row>
    <row r="563" spans="1:13">
      <c r="A563" s="1" t="s">
        <v>117</v>
      </c>
      <c r="B563" s="1">
        <v>562</v>
      </c>
      <c r="C563" s="1">
        <v>2001</v>
      </c>
      <c r="D563" s="1">
        <v>2002</v>
      </c>
      <c r="E563" s="1">
        <v>34.150092440530628</v>
      </c>
      <c r="F563" s="1">
        <v>-100.7601053149527</v>
      </c>
      <c r="G563" s="4" t="str">
        <f>HYPERLINK(CONCATENATE("https://ee-faluhong.projects.earthengine.app/view/isp-ts-evaluation#id=562 2001-&gt;2002;lat=34.15009244053063;lon=-100.7601053149527;year=2001;bf=7;level=18;"), "landsat_time_series")</f>
        <v>landsat_time_series</v>
      </c>
      <c r="H563" s="4" t="str">
        <f>HYPERLINK(CONCATENATE("https://jstnbraaten.users.earthengine.app/view/landsat-timeseries-explorer#run=true;lon=-100.7601053149527;lat=34.15009244053063;from=01-01;to=12-31;index=NDVI;rgb=NIR%2FRED%2FGREEN;chipwidth=1;"), "landsat_chips")</f>
        <v>landsat_chips</v>
      </c>
      <c r="I563" s="4" t="str">
        <f>HYPERLINK(CONCATENATE("https://livingatlas.arcgis.com/wayback/#ext=-100.7611053149527,34.151092440530626,-100.75910531495269,34.14909244053063"), "wayback")</f>
        <v>wayback</v>
      </c>
      <c r="J563" s="9" t="s">
        <v>19</v>
      </c>
      <c r="L563" s="9" t="s">
        <v>15</v>
      </c>
    </row>
    <row r="564" spans="1:13">
      <c r="A564" s="1" t="s">
        <v>117</v>
      </c>
      <c r="B564" s="1">
        <v>563</v>
      </c>
      <c r="C564" s="1">
        <v>2008</v>
      </c>
      <c r="D564" s="1">
        <v>2009</v>
      </c>
      <c r="E564" s="1">
        <v>35.905472255254722</v>
      </c>
      <c r="F564" s="1">
        <v>-118.8914324755855</v>
      </c>
      <c r="G564" s="4" t="str">
        <f>HYPERLINK(CONCATENATE("https://ee-faluhong.projects.earthengine.app/view/isp-ts-evaluation#id=563 2008-&gt;2009;lat=35.90547225525472;lon=-118.8914324755855;year=2008;bf=7;level=18;"), "landsat_time_series")</f>
        <v>landsat_time_series</v>
      </c>
      <c r="H564" s="4" t="str">
        <f>HYPERLINK(CONCATENATE("https://jstnbraaten.users.earthengine.app/view/landsat-timeseries-explorer#run=true;lon=-118.8914324755855;lat=35.90547225525472;from=01-01;to=12-31;index=NDVI;rgb=NIR%2FRED%2FGREEN;chipwidth=1;"), "landsat_chips")</f>
        <v>landsat_chips</v>
      </c>
      <c r="I564" s="4" t="str">
        <f>HYPERLINK(CONCATENATE("https://livingatlas.arcgis.com/wayback/#ext=-118.89243247558551,35.90647225525472,-118.8904324755855,35.904472255254724"), "wayback")</f>
        <v>wayback</v>
      </c>
      <c r="J564" s="9" t="s">
        <v>19</v>
      </c>
      <c r="L564" s="9" t="s">
        <v>15</v>
      </c>
    </row>
    <row r="565" spans="1:13">
      <c r="A565" s="1" t="s">
        <v>117</v>
      </c>
      <c r="B565" s="1">
        <v>564</v>
      </c>
      <c r="C565" s="1">
        <v>2009</v>
      </c>
      <c r="D565" s="1">
        <v>2010</v>
      </c>
      <c r="E565" s="1">
        <v>48.449790967571303</v>
      </c>
      <c r="F565" s="1">
        <v>-104.67558057829559</v>
      </c>
      <c r="G565" s="4" t="str">
        <f>HYPERLINK(CONCATENATE("https://ee-faluhong.projects.earthengine.app/view/isp-ts-evaluation#id=564 2009-&gt;2010;lat=48.4497909675713;lon=-104.6755805782956;year=2009;bf=7;level=18;"), "landsat_time_series")</f>
        <v>landsat_time_series</v>
      </c>
      <c r="H565" s="4" t="str">
        <f>HYPERLINK(CONCATENATE("https://jstnbraaten.users.earthengine.app/view/landsat-timeseries-explorer#run=true;lon=-104.6755805782956;lat=48.4497909675713;from=01-01;to=12-31;index=NDVI;rgb=NIR%2FRED%2FGREEN;chipwidth=1;"), "landsat_chips")</f>
        <v>landsat_chips</v>
      </c>
      <c r="I565" s="4" t="str">
        <f>HYPERLINK(CONCATENATE("https://livingatlas.arcgis.com/wayback/#ext=-104.6765805782956,48.4507909675713,-104.67458057829559,48.448790967571306"), "wayback")</f>
        <v>wayback</v>
      </c>
      <c r="J565" s="9" t="s">
        <v>19</v>
      </c>
      <c r="L565" s="9" t="s">
        <v>15</v>
      </c>
    </row>
    <row r="566" spans="1:13">
      <c r="A566" s="1" t="s">
        <v>117</v>
      </c>
      <c r="B566" s="1">
        <v>565</v>
      </c>
      <c r="C566" s="1">
        <v>2012</v>
      </c>
      <c r="D566" s="1">
        <v>2013</v>
      </c>
      <c r="E566" s="1">
        <v>27.708215984762301</v>
      </c>
      <c r="F566" s="1">
        <v>-81.562007479598876</v>
      </c>
      <c r="G566" s="4" t="str">
        <f>HYPERLINK(CONCATENATE("https://ee-faluhong.projects.earthengine.app/view/isp-ts-evaluation#id=565 2012-&gt;2013;lat=27.7082159847623;lon=-81.56200747959888;year=2012;bf=7;level=18;"), "landsat_time_series")</f>
        <v>landsat_time_series</v>
      </c>
      <c r="H566" s="4" t="str">
        <f>HYPERLINK(CONCATENATE("https://jstnbraaten.users.earthengine.app/view/landsat-timeseries-explorer#run=true;lon=-81.56200747959888;lat=27.7082159847623;from=01-01;to=12-31;index=NDVI;rgb=NIR%2FRED%2FGREEN;chipwidth=1;"), "landsat_chips")</f>
        <v>landsat_chips</v>
      </c>
      <c r="I566" s="4" t="str">
        <f>HYPERLINK(CONCATENATE("https://livingatlas.arcgis.com/wayback/#ext=-81.56300747959888,27.709215984762302,-81.56100747959887,27.7072159847623"), "wayback")</f>
        <v>wayback</v>
      </c>
      <c r="J566" s="9" t="s">
        <v>25</v>
      </c>
      <c r="K566" s="9" t="s">
        <v>26</v>
      </c>
      <c r="L566" s="9" t="s">
        <v>15</v>
      </c>
      <c r="M566" s="9" t="s">
        <v>132</v>
      </c>
    </row>
    <row r="567" spans="1:13">
      <c r="A567" s="1" t="s">
        <v>117</v>
      </c>
      <c r="B567" s="1">
        <v>566</v>
      </c>
      <c r="C567" s="1">
        <v>2007</v>
      </c>
      <c r="D567" s="1">
        <v>2008</v>
      </c>
      <c r="E567" s="1">
        <v>38.512720709039947</v>
      </c>
      <c r="F567" s="1">
        <v>-80.616954768128323</v>
      </c>
      <c r="G567" s="4" t="str">
        <f>HYPERLINK(CONCATENATE("https://ee-faluhong.projects.earthengine.app/view/isp-ts-evaluation#id=566 2007-&gt;2008;lat=38.51272070903995;lon=-80.61695476812832;year=2007;bf=7;level=18;"), "landsat_time_series")</f>
        <v>landsat_time_series</v>
      </c>
      <c r="H567" s="4" t="str">
        <f>HYPERLINK(CONCATENATE("https://jstnbraaten.users.earthengine.app/view/landsat-timeseries-explorer#run=true;lon=-80.61695476812832;lat=38.51272070903995;from=01-01;to=12-31;index=NDVI;rgb=NIR%2FRED%2FGREEN;chipwidth=1;"), "landsat_chips")</f>
        <v>landsat_chips</v>
      </c>
      <c r="I567" s="4" t="str">
        <f>HYPERLINK(CONCATENATE("https://livingatlas.arcgis.com/wayback/#ext=-80.61795476812833,38.513720709039944,-80.61595476812832,38.51172070903995"), "wayback")</f>
        <v>wayback</v>
      </c>
      <c r="J567" s="9" t="s">
        <v>19</v>
      </c>
      <c r="L567" s="9" t="s">
        <v>24</v>
      </c>
    </row>
    <row r="568" spans="1:13">
      <c r="A568" s="1" t="s">
        <v>117</v>
      </c>
      <c r="B568" s="1">
        <v>567</v>
      </c>
      <c r="C568" s="1">
        <v>2014</v>
      </c>
      <c r="D568" s="1">
        <v>2015</v>
      </c>
      <c r="E568" s="1">
        <v>31.712703339887639</v>
      </c>
      <c r="F568" s="1">
        <v>-88.809673146016252</v>
      </c>
      <c r="G568" s="4" t="str">
        <f>HYPERLINK(CONCATENATE("https://ee-faluhong.projects.earthengine.app/view/isp-ts-evaluation#id=567 2014-&gt;2015;lat=31.71270333988764;lon=-88.80967314601625;year=2014;bf=7;level=18;"), "landsat_time_series")</f>
        <v>landsat_time_series</v>
      </c>
      <c r="H568" s="4" t="str">
        <f>HYPERLINK(CONCATENATE("https://jstnbraaten.users.earthengine.app/view/landsat-timeseries-explorer#run=true;lon=-88.80967314601625;lat=31.71270333988764;from=01-01;to=12-31;index=NDVI;rgb=NIR%2FRED%2FGREEN;chipwidth=1;"), "landsat_chips")</f>
        <v>landsat_chips</v>
      </c>
      <c r="I568" s="4" t="str">
        <f>HYPERLINK(CONCATENATE("https://livingatlas.arcgis.com/wayback/#ext=-88.81067314601626,31.71370333988764,-88.80867314601625,31.711703339887638"), "wayback")</f>
        <v>wayback</v>
      </c>
      <c r="J568" s="9" t="s">
        <v>19</v>
      </c>
      <c r="L568" s="9" t="s">
        <v>24</v>
      </c>
    </row>
    <row r="569" spans="1:13">
      <c r="A569" s="1" t="s">
        <v>117</v>
      </c>
      <c r="B569" s="1">
        <v>568</v>
      </c>
      <c r="C569" s="1">
        <v>2005</v>
      </c>
      <c r="D569" s="1">
        <v>2006</v>
      </c>
      <c r="E569" s="1">
        <v>33.6649669771611</v>
      </c>
      <c r="F569" s="1">
        <v>-116.154374691025</v>
      </c>
      <c r="G569" s="4" t="str">
        <f>HYPERLINK(CONCATENATE("https://ee-faluhong.projects.earthengine.app/view/isp-ts-evaluation#id=568 2005-&gt;2006;lat=33.6649669771611;lon=-116.154374691025;year=2005;bf=7;level=18;"), "landsat_time_series")</f>
        <v>landsat_time_series</v>
      </c>
      <c r="H569" s="4" t="str">
        <f>HYPERLINK(CONCATENATE("https://jstnbraaten.users.earthengine.app/view/landsat-timeseries-explorer#run=true;lon=-116.154374691025;lat=33.6649669771611;from=01-01;to=12-31;index=NDVI;rgb=NIR%2FRED%2FGREEN;chipwidth=1;"), "landsat_chips")</f>
        <v>landsat_chips</v>
      </c>
      <c r="I569" s="4" t="str">
        <f>HYPERLINK(CONCATENATE("https://livingatlas.arcgis.com/wayback/#ext=-116.155374691025,33.6659669771611,-116.153374691025,33.6639669771611"), "wayback")</f>
        <v>wayback</v>
      </c>
      <c r="J569" s="9" t="s">
        <v>34</v>
      </c>
      <c r="L569" s="9" t="s">
        <v>31</v>
      </c>
      <c r="M569" s="9" t="s">
        <v>133</v>
      </c>
    </row>
    <row r="570" spans="1:13">
      <c r="A570" s="1" t="s">
        <v>117</v>
      </c>
      <c r="B570" s="1">
        <v>569</v>
      </c>
      <c r="C570" s="1">
        <v>2001</v>
      </c>
      <c r="D570" s="1">
        <v>2002</v>
      </c>
      <c r="E570" s="1">
        <v>33.174101986774787</v>
      </c>
      <c r="F570" s="1">
        <v>-96.734916063858918</v>
      </c>
      <c r="G570" s="4" t="str">
        <f>HYPERLINK(CONCATENATE("https://ee-faluhong.projects.earthengine.app/view/isp-ts-evaluation#id=569 2001-&gt;2002;lat=33.17410198677479;lon=-96.73491606385892;year=2001;bf=7;level=18;"), "landsat_time_series")</f>
        <v>landsat_time_series</v>
      </c>
      <c r="H570" s="4" t="str">
        <f>HYPERLINK(CONCATENATE("https://jstnbraaten.users.earthengine.app/view/landsat-timeseries-explorer#run=true;lon=-96.73491606385892;lat=33.17410198677479;from=01-01;to=12-31;index=NDVI;rgb=NIR%2FRED%2FGREEN;chipwidth=1;"), "landsat_chips")</f>
        <v>landsat_chips</v>
      </c>
      <c r="I570" s="4" t="str">
        <f>HYPERLINK(CONCATENATE("https://livingatlas.arcgis.com/wayback/#ext=-96.73591606385892,33.175101986774784,-96.73391606385891,33.17310198677479"), "wayback")</f>
        <v>wayback</v>
      </c>
      <c r="J570" s="9" t="s">
        <v>21</v>
      </c>
      <c r="L570" s="9" t="s">
        <v>31</v>
      </c>
    </row>
    <row r="571" spans="1:13">
      <c r="A571" s="1" t="s">
        <v>117</v>
      </c>
      <c r="B571" s="1">
        <v>570</v>
      </c>
      <c r="C571" s="1">
        <v>2004</v>
      </c>
      <c r="D571" s="1">
        <v>2005</v>
      </c>
      <c r="E571" s="1">
        <v>38.467510366698257</v>
      </c>
      <c r="F571" s="1">
        <v>-112.95479617668001</v>
      </c>
      <c r="G571" s="4" t="str">
        <f>HYPERLINK(CONCATENATE("https://ee-faluhong.projects.earthengine.app/view/isp-ts-evaluation#id=570 2004-&gt;2005;lat=38.46751036669826;lon=-112.95479617668;year=2004;bf=7;level=18;"), "landsat_time_series")</f>
        <v>landsat_time_series</v>
      </c>
      <c r="H571" s="4" t="str">
        <f>HYPERLINK(CONCATENATE("https://jstnbraaten.users.earthengine.app/view/landsat-timeseries-explorer#run=true;lon=-112.95479617668;lat=38.46751036669826;from=01-01;to=12-31;index=NDVI;rgb=NIR%2FRED%2FGREEN;chipwidth=1;"), "landsat_chips")</f>
        <v>landsat_chips</v>
      </c>
      <c r="I571" s="4" t="str">
        <f>HYPERLINK(CONCATENATE("https://livingatlas.arcgis.com/wayback/#ext=-112.95579617668001,38.468510366698254,-112.95379617668,38.46651036669826"), "wayback")</f>
        <v>wayback</v>
      </c>
      <c r="J571" s="9" t="s">
        <v>17</v>
      </c>
      <c r="L571" s="9" t="s">
        <v>24</v>
      </c>
    </row>
    <row r="572" spans="1:13">
      <c r="A572" s="1" t="s">
        <v>117</v>
      </c>
      <c r="B572" s="1">
        <v>571</v>
      </c>
      <c r="C572" s="1">
        <v>2001</v>
      </c>
      <c r="D572" s="1">
        <v>2002</v>
      </c>
      <c r="E572" s="1">
        <v>40.387808982877317</v>
      </c>
      <c r="F572" s="1">
        <v>-110.84547035607309</v>
      </c>
      <c r="G572" s="4" t="str">
        <f>HYPERLINK(CONCATENATE("https://ee-faluhong.projects.earthengine.app/view/isp-ts-evaluation#id=571 2001-&gt;2002;lat=40.38780898287732;lon=-110.8454703560731;year=2001;bf=7;level=18;"), "landsat_time_series")</f>
        <v>landsat_time_series</v>
      </c>
      <c r="H572" s="4" t="str">
        <f>HYPERLINK(CONCATENATE("https://jstnbraaten.users.earthengine.app/view/landsat-timeseries-explorer#run=true;lon=-110.8454703560731;lat=40.38780898287732;from=01-01;to=12-31;index=NDVI;rgb=NIR%2FRED%2FGREEN;chipwidth=1;"), "landsat_chips")</f>
        <v>landsat_chips</v>
      </c>
      <c r="I572" s="4" t="str">
        <f>HYPERLINK(CONCATENATE("https://livingatlas.arcgis.com/wayback/#ext=-110.8464703560731,40.388808982877315,-110.84447035607309,40.38680898287732"), "wayback")</f>
        <v>wayback</v>
      </c>
      <c r="J572" s="9" t="s">
        <v>19</v>
      </c>
      <c r="L572" s="9" t="s">
        <v>15</v>
      </c>
    </row>
    <row r="573" spans="1:13">
      <c r="A573" s="1" t="s">
        <v>117</v>
      </c>
      <c r="B573" s="1">
        <v>572</v>
      </c>
      <c r="C573" s="1">
        <v>2012</v>
      </c>
      <c r="D573" s="1">
        <v>2013</v>
      </c>
      <c r="E573" s="1">
        <v>36.517078685355123</v>
      </c>
      <c r="F573" s="1">
        <v>-83.87242539418456</v>
      </c>
      <c r="G573" s="4" t="str">
        <f>HYPERLINK(CONCATENATE("https://ee-faluhong.projects.earthengine.app/view/isp-ts-evaluation#id=572 2012-&gt;2013;lat=36.51707868535512;lon=-83.87242539418456;year=2012;bf=7;level=18;"), "landsat_time_series")</f>
        <v>landsat_time_series</v>
      </c>
      <c r="H573" s="4" t="str">
        <f>HYPERLINK(CONCATENATE("https://jstnbraaten.users.earthengine.app/view/landsat-timeseries-explorer#run=true;lon=-83.87242539418456;lat=36.51707868535512;from=01-01;to=12-31;index=NDVI;rgb=NIR%2FRED%2FGREEN;chipwidth=1;"), "landsat_chips")</f>
        <v>landsat_chips</v>
      </c>
      <c r="I573" s="4" t="str">
        <f>HYPERLINK(CONCATENATE("https://livingatlas.arcgis.com/wayback/#ext=-83.87342539418457,36.51807868535512,-83.87142539418456,36.516078685355126"), "wayback")</f>
        <v>wayback</v>
      </c>
      <c r="J573" s="9" t="s">
        <v>19</v>
      </c>
      <c r="L573" s="9" t="s">
        <v>15</v>
      </c>
    </row>
    <row r="574" spans="1:13">
      <c r="A574" s="1" t="s">
        <v>117</v>
      </c>
      <c r="B574" s="1">
        <v>573</v>
      </c>
      <c r="C574" s="1">
        <v>2017</v>
      </c>
      <c r="D574" s="1">
        <v>2018</v>
      </c>
      <c r="E574" s="1">
        <v>31.331175712490289</v>
      </c>
      <c r="F574" s="1">
        <v>-90.253143501066674</v>
      </c>
      <c r="G574" s="4" t="str">
        <f>HYPERLINK(CONCATENATE("https://ee-faluhong.projects.earthengine.app/view/isp-ts-evaluation#id=573 2017-&gt;2018;lat=31.33117571249029;lon=-90.25314350106667;year=2017;bf=7;level=18;"), "landsat_time_series")</f>
        <v>landsat_time_series</v>
      </c>
      <c r="H574" s="4" t="str">
        <f>HYPERLINK(CONCATENATE("https://jstnbraaten.users.earthengine.app/view/landsat-timeseries-explorer#run=true;lon=-90.25314350106667;lat=31.33117571249029;from=01-01;to=12-31;index=NDVI;rgb=NIR%2FRED%2FGREEN;chipwidth=1;"), "landsat_chips")</f>
        <v>landsat_chips</v>
      </c>
      <c r="I574" s="4" t="str">
        <f>HYPERLINK(CONCATENATE("https://livingatlas.arcgis.com/wayback/#ext=-90.25414350106668,31.33217571249029,-90.25214350106667,31.330175712490288"), "wayback")</f>
        <v>wayback</v>
      </c>
      <c r="J574" s="9" t="s">
        <v>17</v>
      </c>
      <c r="L574" s="9" t="s">
        <v>15</v>
      </c>
    </row>
    <row r="575" spans="1:13">
      <c r="A575" s="1" t="s">
        <v>117</v>
      </c>
      <c r="B575" s="1">
        <v>574</v>
      </c>
      <c r="C575" s="1">
        <v>2003</v>
      </c>
      <c r="D575" s="1">
        <v>2004</v>
      </c>
      <c r="E575" s="1">
        <v>39.135887725752212</v>
      </c>
      <c r="F575" s="1">
        <v>-95.119340730559998</v>
      </c>
      <c r="G575" s="4" t="str">
        <f>HYPERLINK(CONCATENATE("https://ee-faluhong.projects.earthengine.app/view/isp-ts-evaluation#id=574 2003-&gt;2004;lat=39.13588772575221;lon=-95.11934073056;year=2003;bf=7;level=18;"), "landsat_time_series")</f>
        <v>landsat_time_series</v>
      </c>
      <c r="H575" s="4" t="str">
        <f>HYPERLINK(CONCATENATE("https://jstnbraaten.users.earthengine.app/view/landsat-timeseries-explorer#run=true;lon=-95.11934073056;lat=39.13588772575221;from=01-01;to=12-31;index=NDVI;rgb=NIR%2FRED%2FGREEN;chipwidth=1;"), "landsat_chips")</f>
        <v>landsat_chips</v>
      </c>
      <c r="I575" s="4" t="str">
        <f>HYPERLINK(CONCATENATE("https://livingatlas.arcgis.com/wayback/#ext=-95.12034073056,39.13688772575221,-95.11834073055999,39.134887725752215"), "wayback")</f>
        <v>wayback</v>
      </c>
      <c r="J575" s="9" t="s">
        <v>27</v>
      </c>
      <c r="L575" s="9" t="s">
        <v>24</v>
      </c>
    </row>
    <row r="576" spans="1:13">
      <c r="A576" s="1" t="s">
        <v>117</v>
      </c>
      <c r="B576" s="1">
        <v>575</v>
      </c>
      <c r="C576" s="1">
        <v>2007</v>
      </c>
      <c r="D576" s="1">
        <v>2008</v>
      </c>
      <c r="E576" s="1">
        <v>38.342070964004883</v>
      </c>
      <c r="F576" s="1">
        <v>-75.600299806321146</v>
      </c>
      <c r="G576" s="4" t="str">
        <f>HYPERLINK(CONCATENATE("https://ee-faluhong.projects.earthengine.app/view/isp-ts-evaluation#id=575 2007-&gt;2008;lat=38.34207096400488;lon=-75.60029980632115;year=2007;bf=7;level=18;"), "landsat_time_series")</f>
        <v>landsat_time_series</v>
      </c>
      <c r="H576" s="4" t="str">
        <f>HYPERLINK(CONCATENATE("https://jstnbraaten.users.earthengine.app/view/landsat-timeseries-explorer#run=true;lon=-75.60029980632115;lat=38.34207096400488;from=01-01;to=12-31;index=NDVI;rgb=NIR%2FRED%2FGREEN;chipwidth=1;"), "landsat_chips")</f>
        <v>landsat_chips</v>
      </c>
      <c r="I576" s="4" t="str">
        <f>HYPERLINK(CONCATENATE("https://livingatlas.arcgis.com/wayback/#ext=-75.60129980632115,38.34307096400488,-75.59929980632114,38.341070964004885"), "wayback")</f>
        <v>wayback</v>
      </c>
      <c r="J576" s="9" t="s">
        <v>21</v>
      </c>
      <c r="L576" s="9" t="s">
        <v>24</v>
      </c>
    </row>
    <row r="577" spans="1:13">
      <c r="A577" s="1" t="s">
        <v>117</v>
      </c>
      <c r="B577" s="1">
        <v>576</v>
      </c>
      <c r="C577" s="1">
        <v>2000</v>
      </c>
      <c r="D577" s="1">
        <v>2001</v>
      </c>
      <c r="E577" s="1">
        <v>41.141678962323503</v>
      </c>
      <c r="F577" s="1">
        <v>-71.556519037685035</v>
      </c>
      <c r="G577" s="4" t="str">
        <f>HYPERLINK(CONCATENATE("https://ee-faluhong.projects.earthengine.app/view/isp-ts-evaluation#id=576 2000-&gt;2001;lat=41.1416789623235;lon=-71.55651903768504;year=2000;bf=7;level=18;"), "landsat_time_series")</f>
        <v>landsat_time_series</v>
      </c>
      <c r="H577" s="4" t="str">
        <f>HYPERLINK(CONCATENATE("https://jstnbraaten.users.earthengine.app/view/landsat-timeseries-explorer#run=true;lon=-71.55651903768504;lat=41.1416789623235;from=01-01;to=12-31;index=NDVI;rgb=NIR%2FRED%2FGREEN;chipwidth=1;"), "landsat_chips")</f>
        <v>landsat_chips</v>
      </c>
      <c r="I577" s="4" t="str">
        <f>HYPERLINK(CONCATENATE("https://livingatlas.arcgis.com/wayback/#ext=-71.55751903768504,41.1426789623235,-71.55551903768503,41.140678962323506"), "wayback")</f>
        <v>wayback</v>
      </c>
      <c r="J577" s="9" t="s">
        <v>19</v>
      </c>
      <c r="L577" s="9" t="s">
        <v>15</v>
      </c>
    </row>
    <row r="578" spans="1:13">
      <c r="A578" s="1" t="s">
        <v>117</v>
      </c>
      <c r="B578" s="1">
        <v>577</v>
      </c>
      <c r="C578" s="1">
        <v>2000</v>
      </c>
      <c r="D578" s="1">
        <v>2001</v>
      </c>
      <c r="E578" s="1">
        <v>40.865668583090688</v>
      </c>
      <c r="F578" s="1">
        <v>-75.239162431844065</v>
      </c>
      <c r="G578" s="4" t="str">
        <f>HYPERLINK(CONCATENATE("https://ee-faluhong.projects.earthengine.app/view/isp-ts-evaluation#id=577 2000-&gt;2001;lat=40.86566858309069;lon=-75.23916243184406;year=2000;bf=7;level=18;"), "landsat_time_series")</f>
        <v>landsat_time_series</v>
      </c>
      <c r="H578" s="4" t="str">
        <f>HYPERLINK(CONCATENATE("https://jstnbraaten.users.earthengine.app/view/landsat-timeseries-explorer#run=true;lon=-75.23916243184406;lat=40.86566858309069;from=01-01;to=12-31;index=NDVI;rgb=NIR%2FRED%2FGREEN;chipwidth=1;"), "landsat_chips")</f>
        <v>landsat_chips</v>
      </c>
      <c r="I578" s="4" t="str">
        <f>HYPERLINK(CONCATENATE("https://livingatlas.arcgis.com/wayback/#ext=-75.24016243184407,40.866668583090686,-75.23816243184406,40.86466858309069"), "wayback")</f>
        <v>wayback</v>
      </c>
      <c r="J578" s="9" t="s">
        <v>17</v>
      </c>
      <c r="L578" s="9" t="s">
        <v>15</v>
      </c>
    </row>
    <row r="579" spans="1:13">
      <c r="A579" s="1" t="s">
        <v>117</v>
      </c>
      <c r="B579" s="1">
        <v>578</v>
      </c>
      <c r="C579" s="1">
        <v>2001</v>
      </c>
      <c r="D579" s="1">
        <v>2002</v>
      </c>
      <c r="E579" s="1">
        <v>37.088579422249119</v>
      </c>
      <c r="F579" s="1">
        <v>-92.006257346636033</v>
      </c>
      <c r="G579" s="4" t="str">
        <f>HYPERLINK(CONCATENATE("https://ee-faluhong.projects.earthengine.app/view/isp-ts-evaluation#id=578 2001-&gt;2002;lat=37.08857942224912;lon=-92.00625734663603;year=2001;bf=7;level=18;"), "landsat_time_series")</f>
        <v>landsat_time_series</v>
      </c>
      <c r="H579" s="4" t="str">
        <f>HYPERLINK(CONCATENATE("https://jstnbraaten.users.earthengine.app/view/landsat-timeseries-explorer#run=true;lon=-92.00625734663603;lat=37.08857942224912;from=01-01;to=12-31;index=NDVI;rgb=NIR%2FRED%2FGREEN;chipwidth=1;"), "landsat_chips")</f>
        <v>landsat_chips</v>
      </c>
      <c r="I579" s="4" t="str">
        <f>HYPERLINK(CONCATENATE("https://livingatlas.arcgis.com/wayback/#ext=-92.00725734663604,37.089579422249116,-92.00525734663603,37.08757942224912"), "wayback")</f>
        <v>wayback</v>
      </c>
      <c r="J579" s="9" t="s">
        <v>25</v>
      </c>
      <c r="K579" s="9" t="s">
        <v>26</v>
      </c>
      <c r="L579" s="9" t="s">
        <v>56</v>
      </c>
      <c r="M579" s="9" t="s">
        <v>134</v>
      </c>
    </row>
    <row r="580" spans="1:13">
      <c r="A580" s="1" t="s">
        <v>117</v>
      </c>
      <c r="B580" s="1">
        <v>579</v>
      </c>
      <c r="C580" s="1">
        <v>2014</v>
      </c>
      <c r="D580" s="1">
        <v>2015</v>
      </c>
      <c r="E580" s="1">
        <v>30.49629419815119</v>
      </c>
      <c r="F580" s="1">
        <v>-100.954598719256</v>
      </c>
      <c r="G580" s="4" t="str">
        <f>HYPERLINK(CONCATENATE("https://ee-faluhong.projects.earthengine.app/view/isp-ts-evaluation#id=579 2014-&gt;2015;lat=30.49629419815119;lon=-100.954598719256;year=2014;bf=7;level=18;"), "landsat_time_series")</f>
        <v>landsat_time_series</v>
      </c>
      <c r="H580" s="4" t="str">
        <f>HYPERLINK(CONCATENATE("https://jstnbraaten.users.earthengine.app/view/landsat-timeseries-explorer#run=true;lon=-100.954598719256;lat=30.49629419815119;from=01-01;to=12-31;index=NDVI;rgb=NIR%2FRED%2FGREEN;chipwidth=1;"), "landsat_chips")</f>
        <v>landsat_chips</v>
      </c>
      <c r="I580" s="4" t="str">
        <f>HYPERLINK(CONCATENATE("https://livingatlas.arcgis.com/wayback/#ext=-100.955598719256,30.49729419815119,-100.953598719256,30.49529419815119"), "wayback")</f>
        <v>wayback</v>
      </c>
      <c r="J580" s="9" t="s">
        <v>19</v>
      </c>
      <c r="L580" s="9" t="s">
        <v>15</v>
      </c>
    </row>
    <row r="581" spans="1:13">
      <c r="A581" s="1" t="s">
        <v>117</v>
      </c>
      <c r="B581" s="1">
        <v>580</v>
      </c>
      <c r="C581" s="1">
        <v>2007</v>
      </c>
      <c r="D581" s="1">
        <v>2008</v>
      </c>
      <c r="E581" s="1">
        <v>38.059018941386029</v>
      </c>
      <c r="F581" s="1">
        <v>-88.473468854877922</v>
      </c>
      <c r="G581" s="4" t="str">
        <f>HYPERLINK(CONCATENATE("https://ee-faluhong.projects.earthengine.app/view/isp-ts-evaluation#id=580 2007-&gt;2008;lat=38.05901894138603;lon=-88.47346885487792;year=2007;bf=7;level=18;"), "landsat_time_series")</f>
        <v>landsat_time_series</v>
      </c>
      <c r="H581" s="4" t="str">
        <f>HYPERLINK(CONCATENATE("https://jstnbraaten.users.earthengine.app/view/landsat-timeseries-explorer#run=true;lon=-88.47346885487792;lat=38.05901894138603;from=01-01;to=12-31;index=NDVI;rgb=NIR%2FRED%2FGREEN;chipwidth=1;"), "landsat_chips")</f>
        <v>landsat_chips</v>
      </c>
      <c r="I581" s="4" t="str">
        <f>HYPERLINK(CONCATENATE("https://livingatlas.arcgis.com/wayback/#ext=-88.47446885487793,38.060018941386026,-88.47246885487792,38.05801894138603"), "wayback")</f>
        <v>wayback</v>
      </c>
      <c r="J581" s="9" t="s">
        <v>19</v>
      </c>
      <c r="L581" s="9" t="s">
        <v>15</v>
      </c>
    </row>
    <row r="582" spans="1:13">
      <c r="A582" s="1" t="s">
        <v>117</v>
      </c>
      <c r="B582" s="1">
        <v>581</v>
      </c>
      <c r="C582" s="1">
        <v>2004</v>
      </c>
      <c r="D582" s="1">
        <v>2005</v>
      </c>
      <c r="E582" s="1">
        <v>34.279254110996092</v>
      </c>
      <c r="F582" s="1">
        <v>-88.808470776443158</v>
      </c>
      <c r="G582" s="4" t="str">
        <f>HYPERLINK(CONCATENATE("https://ee-faluhong.projects.earthengine.app/view/isp-ts-evaluation#id=581 2004-&gt;2005;lat=34.27925411099609;lon=-88.80847077644316;year=2004;bf=7;level=18;"), "landsat_time_series")</f>
        <v>landsat_time_series</v>
      </c>
      <c r="H582" s="4" t="str">
        <f>HYPERLINK(CONCATENATE("https://jstnbraaten.users.earthengine.app/view/landsat-timeseries-explorer#run=true;lon=-88.80847077644316;lat=34.27925411099609;from=01-01;to=12-31;index=NDVI;rgb=NIR%2FRED%2FGREEN;chipwidth=1;"), "landsat_chips")</f>
        <v>landsat_chips</v>
      </c>
      <c r="I582" s="4" t="str">
        <f>HYPERLINK(CONCATENATE("https://livingatlas.arcgis.com/wayback/#ext=-88.80947077644316,34.28025411099609,-88.80747077644315,34.278254110996095"), "wayback")</f>
        <v>wayback</v>
      </c>
      <c r="J582" s="9" t="s">
        <v>21</v>
      </c>
      <c r="L582" s="9" t="s">
        <v>24</v>
      </c>
    </row>
    <row r="583" spans="1:13">
      <c r="A583" s="1" t="s">
        <v>117</v>
      </c>
      <c r="B583" s="1">
        <v>582</v>
      </c>
      <c r="C583" s="1">
        <v>2002</v>
      </c>
      <c r="D583" s="1">
        <v>2003</v>
      </c>
      <c r="E583" s="1">
        <v>38.390616454643329</v>
      </c>
      <c r="F583" s="1">
        <v>-83.668701269944961</v>
      </c>
      <c r="G583" s="4" t="str">
        <f>HYPERLINK(CONCATENATE("https://ee-faluhong.projects.earthengine.app/view/isp-ts-evaluation#id=582 2002-&gt;2003;lat=38.39061645464333;lon=-83.66870126994496;year=2002;bf=7;level=18;"), "landsat_time_series")</f>
        <v>landsat_time_series</v>
      </c>
      <c r="H583" s="4" t="str">
        <f>HYPERLINK(CONCATENATE("https://jstnbraaten.users.earthengine.app/view/landsat-timeseries-explorer#run=true;lon=-83.66870126994496;lat=38.39061645464333;from=01-01;to=12-31;index=NDVI;rgb=NIR%2FRED%2FGREEN;chipwidth=1;"), "landsat_chips")</f>
        <v>landsat_chips</v>
      </c>
      <c r="I583" s="4" t="str">
        <f>HYPERLINK(CONCATENATE("https://livingatlas.arcgis.com/wayback/#ext=-83.66970126994497,38.39161645464333,-83.66770126994496,38.38961645464333"), "wayback")</f>
        <v>wayback</v>
      </c>
      <c r="J583" s="9" t="s">
        <v>19</v>
      </c>
      <c r="L583" s="9" t="s">
        <v>15</v>
      </c>
    </row>
    <row r="584" spans="1:13">
      <c r="A584" s="1" t="s">
        <v>117</v>
      </c>
      <c r="B584" s="1">
        <v>583</v>
      </c>
      <c r="C584" s="1">
        <v>2014</v>
      </c>
      <c r="D584" s="1">
        <v>2015</v>
      </c>
      <c r="E584" s="1">
        <v>37.147381145131348</v>
      </c>
      <c r="F584" s="1">
        <v>-95.673359420610126</v>
      </c>
      <c r="G584" s="4" t="str">
        <f>HYPERLINK(CONCATENATE("https://ee-faluhong.projects.earthengine.app/view/isp-ts-evaluation#id=583 2014-&gt;2015;lat=37.14738114513135;lon=-95.67335942061013;year=2014;bf=7;level=18;"), "landsat_time_series")</f>
        <v>landsat_time_series</v>
      </c>
      <c r="H584" s="4" t="str">
        <f>HYPERLINK(CONCATENATE("https://jstnbraaten.users.earthengine.app/view/landsat-timeseries-explorer#run=true;lon=-95.67335942061013;lat=37.14738114513135;from=01-01;to=12-31;index=NDVI;rgb=NIR%2FRED%2FGREEN;chipwidth=1;"), "landsat_chips")</f>
        <v>landsat_chips</v>
      </c>
      <c r="I584" s="4" t="str">
        <f>HYPERLINK(CONCATENATE("https://livingatlas.arcgis.com/wayback/#ext=-95.67435942061013,37.148381145131346,-95.67235942061012,37.14638114513135"), "wayback")</f>
        <v>wayback</v>
      </c>
      <c r="J584" s="9" t="s">
        <v>19</v>
      </c>
      <c r="L584" s="9" t="s">
        <v>15</v>
      </c>
    </row>
    <row r="585" spans="1:13">
      <c r="A585" s="1" t="s">
        <v>117</v>
      </c>
      <c r="B585" s="1">
        <v>584</v>
      </c>
      <c r="C585" s="1">
        <v>2018</v>
      </c>
      <c r="D585" s="1">
        <v>2019</v>
      </c>
      <c r="E585" s="1">
        <v>27.959871271733679</v>
      </c>
      <c r="F585" s="1">
        <v>-81.946908337641517</v>
      </c>
      <c r="G585" s="4" t="str">
        <f>HYPERLINK(CONCATENATE("https://ee-faluhong.projects.earthengine.app/view/isp-ts-evaluation#id=584 2018-&gt;2019;lat=27.95987127173368;lon=-81.94690833764152;year=2018;bf=7;level=18;"), "landsat_time_series")</f>
        <v>landsat_time_series</v>
      </c>
      <c r="H585" s="4" t="str">
        <f>HYPERLINK(CONCATENATE("https://jstnbraaten.users.earthengine.app/view/landsat-timeseries-explorer#run=true;lon=-81.94690833764152;lat=27.95987127173368;from=01-01;to=12-31;index=NDVI;rgb=NIR%2FRED%2FGREEN;chipwidth=1;"), "landsat_chips")</f>
        <v>landsat_chips</v>
      </c>
      <c r="I585" s="4" t="str">
        <f>HYPERLINK(CONCATENATE("https://livingatlas.arcgis.com/wayback/#ext=-81.94790833764152,27.96087127173368,-81.94590833764151,27.958871271733678"), "wayback")</f>
        <v>wayback</v>
      </c>
      <c r="J585" s="9" t="s">
        <v>17</v>
      </c>
      <c r="L585" s="9" t="s">
        <v>15</v>
      </c>
    </row>
    <row r="586" spans="1:13">
      <c r="A586" s="1" t="s">
        <v>117</v>
      </c>
      <c r="B586" s="1">
        <v>585</v>
      </c>
      <c r="C586" s="1">
        <v>2004</v>
      </c>
      <c r="D586" s="1">
        <v>2005</v>
      </c>
      <c r="E586" s="1">
        <v>35.209734925251531</v>
      </c>
      <c r="F586" s="1">
        <v>-80.026289847757752</v>
      </c>
      <c r="G586" s="4" t="str">
        <f>HYPERLINK(CONCATENATE("https://ee-faluhong.projects.earthengine.app/view/isp-ts-evaluation#id=585 2004-&gt;2005;lat=35.20973492525153;lon=-80.02628984775775;year=2004;bf=7;level=18;"), "landsat_time_series")</f>
        <v>landsat_time_series</v>
      </c>
      <c r="H586" s="4" t="str">
        <f>HYPERLINK(CONCATENATE("https://jstnbraaten.users.earthengine.app/view/landsat-timeseries-explorer#run=true;lon=-80.02628984775775;lat=35.20973492525153;from=01-01;to=12-31;index=NDVI;rgb=NIR%2FRED%2FGREEN;chipwidth=1;"), "landsat_chips")</f>
        <v>landsat_chips</v>
      </c>
      <c r="I586" s="4" t="str">
        <f>HYPERLINK(CONCATENATE("https://livingatlas.arcgis.com/wayback/#ext=-80.02728984775776,35.21073492525153,-80.02528984775775,35.208734925251534"), "wayback")</f>
        <v>wayback</v>
      </c>
      <c r="J586" s="9" t="s">
        <v>21</v>
      </c>
      <c r="L586" s="9" t="s">
        <v>31</v>
      </c>
    </row>
    <row r="587" spans="1:13">
      <c r="A587" s="1" t="s">
        <v>117</v>
      </c>
      <c r="B587" s="1">
        <v>586</v>
      </c>
      <c r="C587" s="1">
        <v>2017</v>
      </c>
      <c r="D587" s="1">
        <v>2018</v>
      </c>
      <c r="E587" s="1">
        <v>43.618135728329733</v>
      </c>
      <c r="F587" s="1">
        <v>-84.054980047618955</v>
      </c>
      <c r="G587" s="4" t="str">
        <f>HYPERLINK(CONCATENATE("https://ee-faluhong.projects.earthengine.app/view/isp-ts-evaluation#id=586 2017-&gt;2018;lat=43.61813572832973;lon=-84.05498004761895;year=2017;bf=7;level=18;"), "landsat_time_series")</f>
        <v>landsat_time_series</v>
      </c>
      <c r="H587" s="4" t="str">
        <f>HYPERLINK(CONCATENATE("https://jstnbraaten.users.earthengine.app/view/landsat-timeseries-explorer#run=true;lon=-84.05498004761895;lat=43.61813572832973;from=01-01;to=12-31;index=NDVI;rgb=NIR%2FRED%2FGREEN;chipwidth=1;"), "landsat_chips")</f>
        <v>landsat_chips</v>
      </c>
      <c r="I587" s="4" t="str">
        <f>HYPERLINK(CONCATENATE("https://livingatlas.arcgis.com/wayback/#ext=-84.05598004761896,43.61913572832973,-84.05398004761895,43.617135728329735"), "wayback")</f>
        <v>wayback</v>
      </c>
      <c r="J587" s="9" t="s">
        <v>19</v>
      </c>
      <c r="L587" s="9" t="s">
        <v>15</v>
      </c>
    </row>
    <row r="588" spans="1:13">
      <c r="A588" s="1" t="s">
        <v>117</v>
      </c>
      <c r="B588" s="1">
        <v>587</v>
      </c>
      <c r="C588" s="1">
        <v>2019</v>
      </c>
      <c r="D588" s="1">
        <v>2020</v>
      </c>
      <c r="E588" s="1">
        <v>33.070376766137841</v>
      </c>
      <c r="F588" s="1">
        <v>-117.0672166630757</v>
      </c>
      <c r="G588" s="4" t="str">
        <f>HYPERLINK(CONCATENATE("https://ee-faluhong.projects.earthengine.app/view/isp-ts-evaluation#id=587 2019-&gt;2020;lat=33.07037676613784;lon=-117.0672166630757;year=2019;bf=7;level=18;"), "landsat_time_series")</f>
        <v>landsat_time_series</v>
      </c>
      <c r="H588" s="4" t="str">
        <f>HYPERLINK(CONCATENATE("https://jstnbraaten.users.earthengine.app/view/landsat-timeseries-explorer#run=true;lon=-117.0672166630757;lat=33.07037676613784;from=01-01;to=12-31;index=NDVI;rgb=NIR%2FRED%2FGREEN;chipwidth=1;"), "landsat_chips")</f>
        <v>landsat_chips</v>
      </c>
      <c r="I588" s="4" t="str">
        <f>HYPERLINK(CONCATENATE("https://livingatlas.arcgis.com/wayback/#ext=-117.0682166630757,33.07137676613784,-117.06621666307569,33.06937676613784"), "wayback")</f>
        <v>wayback</v>
      </c>
      <c r="J588" s="9" t="s">
        <v>25</v>
      </c>
      <c r="K588" s="9" t="s">
        <v>26</v>
      </c>
      <c r="L588" s="9" t="s">
        <v>15</v>
      </c>
    </row>
    <row r="589" spans="1:13">
      <c r="A589" s="1" t="s">
        <v>117</v>
      </c>
      <c r="B589" s="1">
        <v>588</v>
      </c>
      <c r="C589" s="1">
        <v>2007</v>
      </c>
      <c r="D589" s="1">
        <v>2008</v>
      </c>
      <c r="E589" s="1">
        <v>46.088363146980683</v>
      </c>
      <c r="F589" s="1">
        <v>-86.371749908016284</v>
      </c>
      <c r="G589" s="4" t="str">
        <f>HYPERLINK(CONCATENATE("https://ee-faluhong.projects.earthengine.app/view/isp-ts-evaluation#id=588 2007-&gt;2008;lat=46.08836314698068;lon=-86.37174990801628;year=2007;bf=7;level=18;"), "landsat_time_series")</f>
        <v>landsat_time_series</v>
      </c>
      <c r="H589" s="4" t="str">
        <f>HYPERLINK(CONCATENATE("https://jstnbraaten.users.earthengine.app/view/landsat-timeseries-explorer#run=true;lon=-86.37174990801628;lat=46.08836314698068;from=01-01;to=12-31;index=NDVI;rgb=NIR%2FRED%2FGREEN;chipwidth=1;"), "landsat_chips")</f>
        <v>landsat_chips</v>
      </c>
      <c r="I589" s="4" t="str">
        <f>HYPERLINK(CONCATENATE("https://livingatlas.arcgis.com/wayback/#ext=-86.37274990801629,46.08936314698068,-86.37074990801628,46.087363146980685"), "wayback")</f>
        <v>wayback</v>
      </c>
      <c r="J589" s="9" t="s">
        <v>19</v>
      </c>
      <c r="L589" s="9" t="s">
        <v>15</v>
      </c>
    </row>
    <row r="590" spans="1:13">
      <c r="A590" s="1" t="s">
        <v>117</v>
      </c>
      <c r="B590" s="1">
        <v>589</v>
      </c>
      <c r="C590" s="1">
        <v>2015</v>
      </c>
      <c r="D590" s="1">
        <v>2016</v>
      </c>
      <c r="E590" s="1">
        <v>47.538127917895679</v>
      </c>
      <c r="F590" s="1">
        <v>-101.42326929317289</v>
      </c>
      <c r="G590" s="4" t="str">
        <f>HYPERLINK(CONCATENATE("https://ee-faluhong.projects.earthengine.app/view/isp-ts-evaluation#id=589 2015-&gt;2016;lat=47.53812791789568;lon=-101.4232692931729;year=2015;bf=7;level=18;"), "landsat_time_series")</f>
        <v>landsat_time_series</v>
      </c>
      <c r="H590" s="4" t="str">
        <f>HYPERLINK(CONCATENATE("https://jstnbraaten.users.earthengine.app/view/landsat-timeseries-explorer#run=true;lon=-101.4232692931729;lat=47.53812791789568;from=01-01;to=12-31;index=NDVI;rgb=NIR%2FRED%2FGREEN;chipwidth=1;"), "landsat_chips")</f>
        <v>landsat_chips</v>
      </c>
      <c r="I590" s="4" t="str">
        <f>HYPERLINK(CONCATENATE("https://livingatlas.arcgis.com/wayback/#ext=-101.4242692931729,47.53912791789568,-101.42226929317289,47.53712791789568"), "wayback")</f>
        <v>wayback</v>
      </c>
      <c r="J590" s="9" t="s">
        <v>19</v>
      </c>
      <c r="L590" s="9" t="s">
        <v>15</v>
      </c>
    </row>
    <row r="591" spans="1:13">
      <c r="A591" s="1" t="s">
        <v>117</v>
      </c>
      <c r="B591" s="1">
        <v>590</v>
      </c>
      <c r="C591" s="1">
        <v>2017</v>
      </c>
      <c r="D591" s="1">
        <v>2018</v>
      </c>
      <c r="E591" s="1">
        <v>47.829048843502918</v>
      </c>
      <c r="F591" s="1">
        <v>-111.3732610228641</v>
      </c>
      <c r="G591" s="4" t="str">
        <f>HYPERLINK(CONCATENATE("https://ee-faluhong.projects.earthengine.app/view/isp-ts-evaluation#id=590 2017-&gt;2018;lat=47.82904884350292;lon=-111.3732610228641;year=2017;bf=7;level=18;"), "landsat_time_series")</f>
        <v>landsat_time_series</v>
      </c>
      <c r="H591" s="4" t="str">
        <f>HYPERLINK(CONCATENATE("https://jstnbraaten.users.earthengine.app/view/landsat-timeseries-explorer#run=true;lon=-111.3732610228641;lat=47.82904884350292;from=01-01;to=12-31;index=NDVI;rgb=NIR%2FRED%2FGREEN;chipwidth=1;"), "landsat_chips")</f>
        <v>landsat_chips</v>
      </c>
      <c r="I591" s="4" t="str">
        <f>HYPERLINK(CONCATENATE("https://livingatlas.arcgis.com/wayback/#ext=-111.3742610228641,47.830048843502915,-111.3722610228641,47.82804884350292"), "wayback")</f>
        <v>wayback</v>
      </c>
      <c r="J591" s="9" t="s">
        <v>17</v>
      </c>
      <c r="L591" s="9" t="s">
        <v>15</v>
      </c>
    </row>
    <row r="592" spans="1:13">
      <c r="A592" s="1" t="s">
        <v>117</v>
      </c>
      <c r="B592" s="1">
        <v>591</v>
      </c>
      <c r="C592" s="1">
        <v>2003</v>
      </c>
      <c r="D592" s="1">
        <v>2004</v>
      </c>
      <c r="E592" s="1">
        <v>27.19443068905025</v>
      </c>
      <c r="F592" s="1">
        <v>-80.282306995654992</v>
      </c>
      <c r="G592" s="4" t="str">
        <f>HYPERLINK(CONCATENATE("https://ee-faluhong.projects.earthengine.app/view/isp-ts-evaluation#id=591 2003-&gt;2004;lat=27.19443068905025;lon=-80.28230699565499;year=2003;bf=7;level=18;"), "landsat_time_series")</f>
        <v>landsat_time_series</v>
      </c>
      <c r="H592" s="4" t="str">
        <f>HYPERLINK(CONCATENATE("https://jstnbraaten.users.earthengine.app/view/landsat-timeseries-explorer#run=true;lon=-80.28230699565499;lat=27.19443068905025;from=01-01;to=12-31;index=NDVI;rgb=NIR%2FRED%2FGREEN;chipwidth=1;"), "landsat_chips")</f>
        <v>landsat_chips</v>
      </c>
      <c r="I592" s="4" t="str">
        <f>HYPERLINK(CONCATENATE("https://livingatlas.arcgis.com/wayback/#ext=-80.283306995655,27.19543068905025,-80.28130699565499,27.19343068905025"), "wayback")</f>
        <v>wayback</v>
      </c>
      <c r="J592" s="9" t="s">
        <v>14</v>
      </c>
      <c r="L592" s="9" t="s">
        <v>15</v>
      </c>
    </row>
    <row r="593" spans="1:13">
      <c r="A593" s="1" t="s">
        <v>117</v>
      </c>
      <c r="B593" s="1">
        <v>592</v>
      </c>
      <c r="C593" s="1">
        <v>2008</v>
      </c>
      <c r="D593" s="1">
        <v>2009</v>
      </c>
      <c r="E593" s="1">
        <v>44.748599115022628</v>
      </c>
      <c r="F593" s="1">
        <v>-113.491057740225</v>
      </c>
      <c r="G593" s="4" t="str">
        <f>HYPERLINK(CONCATENATE("https://ee-faluhong.projects.earthengine.app/view/isp-ts-evaluation#id=592 2008-&gt;2009;lat=44.74859911502263;lon=-113.491057740225;year=2008;bf=7;level=18;"), "landsat_time_series")</f>
        <v>landsat_time_series</v>
      </c>
      <c r="H593" s="4" t="str">
        <f>HYPERLINK(CONCATENATE("https://jstnbraaten.users.earthengine.app/view/landsat-timeseries-explorer#run=true;lon=-113.491057740225;lat=44.74859911502263;from=01-01;to=12-31;index=NDVI;rgb=NIR%2FRED%2FGREEN;chipwidth=1;"), "landsat_chips")</f>
        <v>landsat_chips</v>
      </c>
      <c r="I593" s="4" t="str">
        <f>HYPERLINK(CONCATENATE("https://livingatlas.arcgis.com/wayback/#ext=-113.49205774022501,44.749599115022626,-113.490057740225,44.74759911502263"), "wayback")</f>
        <v>wayback</v>
      </c>
      <c r="J593" s="9" t="s">
        <v>19</v>
      </c>
      <c r="L593" s="9" t="s">
        <v>56</v>
      </c>
      <c r="M593" s="9" t="s">
        <v>135</v>
      </c>
    </row>
    <row r="594" spans="1:13">
      <c r="A594" s="1" t="s">
        <v>117</v>
      </c>
      <c r="B594" s="1">
        <v>593</v>
      </c>
      <c r="C594" s="1">
        <v>2019</v>
      </c>
      <c r="D594" s="1">
        <v>2020</v>
      </c>
      <c r="E594" s="1">
        <v>34.163347391660878</v>
      </c>
      <c r="F594" s="1">
        <v>-80.66364536018547</v>
      </c>
      <c r="G594" s="4" t="str">
        <f>HYPERLINK(CONCATENATE("https://ee-faluhong.projects.earthengine.app/view/isp-ts-evaluation#id=593 2019-&gt;2020;lat=34.16334739166088;lon=-80.66364536018547;year=2019;bf=7;level=18;"), "landsat_time_series")</f>
        <v>landsat_time_series</v>
      </c>
      <c r="H594" s="4" t="str">
        <f>HYPERLINK(CONCATENATE("https://jstnbraaten.users.earthengine.app/view/landsat-timeseries-explorer#run=true;lon=-80.66364536018547;lat=34.16334739166088;from=01-01;to=12-31;index=NDVI;rgb=NIR%2FRED%2FGREEN;chipwidth=1;"), "landsat_chips")</f>
        <v>landsat_chips</v>
      </c>
      <c r="I594" s="4" t="str">
        <f>HYPERLINK(CONCATENATE("https://livingatlas.arcgis.com/wayback/#ext=-80.66464536018547,34.164347391660876,-80.66264536018546,34.16234739166088"), "wayback")</f>
        <v>wayback</v>
      </c>
      <c r="J594" s="9" t="s">
        <v>25</v>
      </c>
      <c r="K594" s="9" t="s">
        <v>26</v>
      </c>
      <c r="L594" s="9" t="s">
        <v>24</v>
      </c>
      <c r="M594" s="9" t="s">
        <v>136</v>
      </c>
    </row>
    <row r="595" spans="1:13">
      <c r="A595" s="1" t="s">
        <v>117</v>
      </c>
      <c r="B595" s="1">
        <v>594</v>
      </c>
      <c r="C595" s="1">
        <v>2001</v>
      </c>
      <c r="D595" s="1">
        <v>2002</v>
      </c>
      <c r="E595" s="1">
        <v>35.577712291694937</v>
      </c>
      <c r="F595" s="1">
        <v>-119.3405085840138</v>
      </c>
      <c r="G595" s="4" t="str">
        <f>HYPERLINK(CONCATENATE("https://ee-faluhong.projects.earthengine.app/view/isp-ts-evaluation#id=594 2001-&gt;2002;lat=35.57771229169494;lon=-119.3405085840138;year=2001;bf=7;level=18;"), "landsat_time_series")</f>
        <v>landsat_time_series</v>
      </c>
      <c r="H595" s="4" t="str">
        <f>HYPERLINK(CONCATENATE("https://jstnbraaten.users.earthengine.app/view/landsat-timeseries-explorer#run=true;lon=-119.3405085840138;lat=35.57771229169494;from=01-01;to=12-31;index=NDVI;rgb=NIR%2FRED%2FGREEN;chipwidth=1;"), "landsat_chips")</f>
        <v>landsat_chips</v>
      </c>
      <c r="I595" s="4" t="str">
        <f>HYPERLINK(CONCATENATE("https://livingatlas.arcgis.com/wayback/#ext=-119.34150858401381,35.578712291694934,-119.3395085840138,35.57671229169494"), "wayback")</f>
        <v>wayback</v>
      </c>
      <c r="J595" s="9" t="s">
        <v>25</v>
      </c>
      <c r="K595" s="9" t="s">
        <v>26</v>
      </c>
      <c r="L595" s="9" t="s">
        <v>31</v>
      </c>
      <c r="M595" s="9" t="s">
        <v>137</v>
      </c>
    </row>
    <row r="596" spans="1:13">
      <c r="A596" s="1" t="s">
        <v>117</v>
      </c>
      <c r="B596" s="1">
        <v>595</v>
      </c>
      <c r="C596" s="1">
        <v>2002</v>
      </c>
      <c r="D596" s="1">
        <v>2003</v>
      </c>
      <c r="E596" s="1">
        <v>40.72572263889456</v>
      </c>
      <c r="F596" s="1">
        <v>-90.861474211171242</v>
      </c>
      <c r="G596" s="4" t="str">
        <f>HYPERLINK(CONCATENATE("https://ee-faluhong.projects.earthengine.app/view/isp-ts-evaluation#id=595 2002-&gt;2003;lat=40.72572263889456;lon=-90.86147421117124;year=2002;bf=7;level=18;"), "landsat_time_series")</f>
        <v>landsat_time_series</v>
      </c>
      <c r="H596" s="4" t="str">
        <f>HYPERLINK(CONCATENATE("https://jstnbraaten.users.earthengine.app/view/landsat-timeseries-explorer#run=true;lon=-90.86147421117124;lat=40.72572263889456;from=01-01;to=12-31;index=NDVI;rgb=NIR%2FRED%2FGREEN;chipwidth=1;"), "landsat_chips")</f>
        <v>landsat_chips</v>
      </c>
      <c r="I596" s="4" t="str">
        <f>HYPERLINK(CONCATENATE("https://livingatlas.arcgis.com/wayback/#ext=-90.86247421117125,40.72672263889456,-90.86047421117124,40.72472263889456"), "wayback")</f>
        <v>wayback</v>
      </c>
      <c r="J596" s="9" t="s">
        <v>19</v>
      </c>
      <c r="L596" s="9" t="s">
        <v>15</v>
      </c>
    </row>
    <row r="597" spans="1:13">
      <c r="A597" s="1" t="s">
        <v>117</v>
      </c>
      <c r="B597" s="1">
        <v>596</v>
      </c>
      <c r="C597" s="1">
        <v>2009</v>
      </c>
      <c r="D597" s="1">
        <v>2010</v>
      </c>
      <c r="E597" s="1">
        <v>43.352336578374853</v>
      </c>
      <c r="F597" s="1">
        <v>-106.69377445964371</v>
      </c>
      <c r="G597" s="4" t="str">
        <f>HYPERLINK(CONCATENATE("https://ee-faluhong.projects.earthengine.app/view/isp-ts-evaluation#id=596 2009-&gt;2010;lat=43.35233657837485;lon=-106.6937744596437;year=2009;bf=7;level=18;"), "landsat_time_series")</f>
        <v>landsat_time_series</v>
      </c>
      <c r="H597" s="4" t="str">
        <f>HYPERLINK(CONCATENATE("https://jstnbraaten.users.earthengine.app/view/landsat-timeseries-explorer#run=true;lon=-106.6937744596437;lat=43.35233657837485;from=01-01;to=12-31;index=NDVI;rgb=NIR%2FRED%2FGREEN;chipwidth=1;"), "landsat_chips")</f>
        <v>landsat_chips</v>
      </c>
      <c r="I597" s="4" t="str">
        <f>HYPERLINK(CONCATENATE("https://livingatlas.arcgis.com/wayback/#ext=-106.69477445964371,43.35333657837485,-106.6927744596437,43.351336578374855"), "wayback")</f>
        <v>wayback</v>
      </c>
      <c r="J597" s="9" t="s">
        <v>19</v>
      </c>
      <c r="L597" s="9" t="s">
        <v>15</v>
      </c>
    </row>
    <row r="598" spans="1:13">
      <c r="A598" s="1" t="s">
        <v>117</v>
      </c>
      <c r="B598" s="1">
        <v>597</v>
      </c>
      <c r="C598" s="1">
        <v>2019</v>
      </c>
      <c r="D598" s="1">
        <v>2020</v>
      </c>
      <c r="E598" s="1">
        <v>47.386848759756049</v>
      </c>
      <c r="F598" s="1">
        <v>-110.0260873867574</v>
      </c>
      <c r="G598" s="4" t="str">
        <f>HYPERLINK(CONCATENATE("https://ee-faluhong.projects.earthengine.app/view/isp-ts-evaluation#id=597 2019-&gt;2020;lat=47.38684875975605;lon=-110.0260873867574;year=2019;bf=7;level=18;"), "landsat_time_series")</f>
        <v>landsat_time_series</v>
      </c>
      <c r="H598" s="4" t="str">
        <f>HYPERLINK(CONCATENATE("https://jstnbraaten.users.earthengine.app/view/landsat-timeseries-explorer#run=true;lon=-110.0260873867574;lat=47.38684875975605;from=01-01;to=12-31;index=NDVI;rgb=NIR%2FRED%2FGREEN;chipwidth=1;"), "landsat_chips")</f>
        <v>landsat_chips</v>
      </c>
      <c r="I598" s="4" t="str">
        <f>HYPERLINK(CONCATENATE("https://livingatlas.arcgis.com/wayback/#ext=-110.0270873867574,47.38784875975605,-110.02508738675739,47.38584875975605"), "wayback")</f>
        <v>wayback</v>
      </c>
      <c r="J598" s="9" t="s">
        <v>19</v>
      </c>
      <c r="L598" s="9" t="s">
        <v>15</v>
      </c>
    </row>
    <row r="599" spans="1:13">
      <c r="A599" s="1" t="s">
        <v>117</v>
      </c>
      <c r="B599" s="1">
        <v>598</v>
      </c>
      <c r="C599" s="1">
        <v>2019</v>
      </c>
      <c r="D599" s="1">
        <v>2020</v>
      </c>
      <c r="E599" s="1">
        <v>42.814045012736592</v>
      </c>
      <c r="F599" s="1">
        <v>-92.906420608617964</v>
      </c>
      <c r="G599" s="4" t="str">
        <f>HYPERLINK(CONCATENATE("https://ee-faluhong.projects.earthengine.app/view/isp-ts-evaluation#id=598 2019-&gt;2020;lat=42.81404501273659;lon=-92.90642060861796;year=2019;bf=7;level=18;"), "landsat_time_series")</f>
        <v>landsat_time_series</v>
      </c>
      <c r="H599" s="4" t="str">
        <f>HYPERLINK(CONCATENATE("https://jstnbraaten.users.earthengine.app/view/landsat-timeseries-explorer#run=true;lon=-92.90642060861796;lat=42.81404501273659;from=01-01;to=12-31;index=NDVI;rgb=NIR%2FRED%2FGREEN;chipwidth=1;"), "landsat_chips")</f>
        <v>landsat_chips</v>
      </c>
      <c r="I599" s="4" t="str">
        <f>HYPERLINK(CONCATENATE("https://livingatlas.arcgis.com/wayback/#ext=-92.90742060861797,42.81504501273659,-92.90542060861796,42.813045012736595"), "wayback")</f>
        <v>wayback</v>
      </c>
      <c r="J599" s="9" t="s">
        <v>25</v>
      </c>
      <c r="K599" s="9" t="s">
        <v>26</v>
      </c>
      <c r="L599" s="9" t="s">
        <v>31</v>
      </c>
      <c r="M599" s="9" t="s">
        <v>138</v>
      </c>
    </row>
    <row r="600" spans="1:13">
      <c r="A600" s="1" t="s">
        <v>117</v>
      </c>
      <c r="B600" s="1">
        <v>599</v>
      </c>
      <c r="C600" s="1">
        <v>2013</v>
      </c>
      <c r="D600" s="1">
        <v>2014</v>
      </c>
      <c r="E600" s="1">
        <v>36.042330415830648</v>
      </c>
      <c r="F600" s="1">
        <v>-118.9882711637138</v>
      </c>
      <c r="G600" s="4" t="str">
        <f>HYPERLINK(CONCATENATE("https://ee-faluhong.projects.earthengine.app/view/isp-ts-evaluation#id=599 2013-&gt;2014;lat=36.04233041583065;lon=-118.9882711637138;year=2013;bf=7;level=18;"), "landsat_time_series")</f>
        <v>landsat_time_series</v>
      </c>
      <c r="H600" s="4" t="str">
        <f>HYPERLINK(CONCATENATE("https://jstnbraaten.users.earthengine.app/view/landsat-timeseries-explorer#run=true;lon=-118.9882711637138;lat=36.04233041583065;from=01-01;to=12-31;index=NDVI;rgb=NIR%2FRED%2FGREEN;chipwidth=1;"), "landsat_chips")</f>
        <v>landsat_chips</v>
      </c>
      <c r="I600" s="4" t="str">
        <f>HYPERLINK(CONCATENATE("https://livingatlas.arcgis.com/wayback/#ext=-118.98927116371381,36.043330415830646,-118.9872711637138,36.04133041583065"), "wayback")</f>
        <v>wayback</v>
      </c>
      <c r="J600" s="9" t="s">
        <v>27</v>
      </c>
      <c r="L600" s="9" t="s">
        <v>24</v>
      </c>
    </row>
    <row r="601" spans="1:13">
      <c r="A601" s="1" t="s">
        <v>117</v>
      </c>
      <c r="B601" s="1">
        <v>600</v>
      </c>
      <c r="C601" s="1">
        <v>2012</v>
      </c>
      <c r="D601" s="1">
        <v>2013</v>
      </c>
      <c r="E601" s="1">
        <v>32.915217604660882</v>
      </c>
      <c r="F601" s="1">
        <v>-81.355247364253046</v>
      </c>
      <c r="G601" s="4" t="str">
        <f>HYPERLINK(CONCATENATE("https://ee-faluhong.projects.earthengine.app/view/isp-ts-evaluation#id=600 2012-&gt;2013;lat=32.91521760466088;lon=-81.35524736425305;year=2012;bf=7;level=18;"), "landsat_time_series")</f>
        <v>landsat_time_series</v>
      </c>
      <c r="H601" s="4" t="str">
        <f>HYPERLINK(CONCATENATE("https://jstnbraaten.users.earthengine.app/view/landsat-timeseries-explorer#run=true;lon=-81.35524736425305;lat=32.91521760466088;from=01-01;to=12-31;index=NDVI;rgb=NIR%2FRED%2FGREEN;chipwidth=1;"), "landsat_chips")</f>
        <v>landsat_chips</v>
      </c>
      <c r="I601" s="4" t="str">
        <f>HYPERLINK(CONCATENATE("https://livingatlas.arcgis.com/wayback/#ext=-81.35624736425305,32.91621760466088,-81.35424736425304,32.914217604660884"), "wayback")</f>
        <v>wayback</v>
      </c>
      <c r="J601" s="9" t="s">
        <v>17</v>
      </c>
      <c r="L601" s="9" t="s">
        <v>24</v>
      </c>
    </row>
    <row r="602" spans="1:13">
      <c r="A602" s="1" t="s">
        <v>117</v>
      </c>
      <c r="B602" s="1">
        <v>601</v>
      </c>
      <c r="C602" s="1">
        <v>2002</v>
      </c>
      <c r="D602" s="1">
        <v>2003</v>
      </c>
      <c r="E602" s="1">
        <v>36.13913871801725</v>
      </c>
      <c r="F602" s="1">
        <v>-115.3319724985392</v>
      </c>
      <c r="G602" s="4" t="str">
        <f>HYPERLINK(CONCATENATE("https://ee-faluhong.projects.earthengine.app/view/isp-ts-evaluation#id=601 2002-&gt;2003;lat=36.13913871801725;lon=-115.3319724985392;year=2002;bf=7;level=18;"), "landsat_time_series")</f>
        <v>landsat_time_series</v>
      </c>
      <c r="H602" s="4" t="str">
        <f>HYPERLINK(CONCATENATE("https://jstnbraaten.users.earthengine.app/view/landsat-timeseries-explorer#run=true;lon=-115.3319724985392;lat=36.13913871801725;from=01-01;to=12-31;index=NDVI;rgb=NIR%2FRED%2FGREEN;chipwidth=1;"), "landsat_chips")</f>
        <v>landsat_chips</v>
      </c>
      <c r="I602" s="4" t="str">
        <f>HYPERLINK(CONCATENATE("https://livingatlas.arcgis.com/wayback/#ext=-115.3329724985392,36.14013871801725,-115.3309724985392,36.13813871801725"), "wayback")</f>
        <v>wayback</v>
      </c>
      <c r="J602" s="9" t="s">
        <v>34</v>
      </c>
      <c r="L602" s="9" t="s">
        <v>56</v>
      </c>
    </row>
    <row r="603" spans="1:13">
      <c r="A603" s="1" t="s">
        <v>117</v>
      </c>
      <c r="B603" s="1">
        <v>602</v>
      </c>
      <c r="C603" s="1">
        <v>2006</v>
      </c>
      <c r="D603" s="1">
        <v>2007</v>
      </c>
      <c r="E603" s="1">
        <v>32.833109798292362</v>
      </c>
      <c r="F603" s="1">
        <v>-96.794292709046275</v>
      </c>
      <c r="G603" s="4" t="str">
        <f>HYPERLINK(CONCATENATE("https://ee-faluhong.projects.earthengine.app/view/isp-ts-evaluation#id=602 2006-&gt;2007;lat=32.83310979829236;lon=-96.79429270904627;year=2006;bf=7;level=18;"), "landsat_time_series")</f>
        <v>landsat_time_series</v>
      </c>
      <c r="H603" s="4" t="str">
        <f>HYPERLINK(CONCATENATE("https://jstnbraaten.users.earthengine.app/view/landsat-timeseries-explorer#run=true;lon=-96.79429270904627;lat=32.83310979829236;from=01-01;to=12-31;index=NDVI;rgb=NIR%2FRED%2FGREEN;chipwidth=1;"), "landsat_chips")</f>
        <v>landsat_chips</v>
      </c>
      <c r="I603" s="4" t="str">
        <f>HYPERLINK(CONCATENATE("https://livingatlas.arcgis.com/wayback/#ext=-96.79529270904628,32.83410979829236,-96.79329270904627,32.832109798292365"), "wayback")</f>
        <v>wayback</v>
      </c>
      <c r="J603" s="9" t="s">
        <v>21</v>
      </c>
      <c r="L603" s="9" t="s">
        <v>24</v>
      </c>
    </row>
    <row r="604" spans="1:13">
      <c r="A604" s="1" t="s">
        <v>117</v>
      </c>
      <c r="B604" s="1">
        <v>603</v>
      </c>
      <c r="C604" s="1">
        <v>2016</v>
      </c>
      <c r="D604" s="1">
        <v>2017</v>
      </c>
      <c r="E604" s="1">
        <v>43.044420482677552</v>
      </c>
      <c r="F604" s="1">
        <v>-88.284744791844659</v>
      </c>
      <c r="G604" s="4" t="str">
        <f>HYPERLINK(CONCATENATE("https://ee-faluhong.projects.earthengine.app/view/isp-ts-evaluation#id=603 2016-&gt;2017;lat=43.04442048267755;lon=-88.28474479184466;year=2016;bf=7;level=18;"), "landsat_time_series")</f>
        <v>landsat_time_series</v>
      </c>
      <c r="H604" s="4" t="str">
        <f>HYPERLINK(CONCATENATE("https://jstnbraaten.users.earthengine.app/view/landsat-timeseries-explorer#run=true;lon=-88.28474479184466;lat=43.04442048267755;from=01-01;to=12-31;index=NDVI;rgb=NIR%2FRED%2FGREEN;chipwidth=1;"), "landsat_chips")</f>
        <v>landsat_chips</v>
      </c>
      <c r="I604" s="4" t="str">
        <f>HYPERLINK(CONCATENATE("https://livingatlas.arcgis.com/wayback/#ext=-88.28574479184466,43.04542048267755,-88.28374479184465,43.043420482677554"), "wayback")</f>
        <v>wayback</v>
      </c>
      <c r="J604" s="9" t="s">
        <v>17</v>
      </c>
      <c r="L604" s="9" t="s">
        <v>15</v>
      </c>
    </row>
    <row r="605" spans="1:13">
      <c r="A605" s="1" t="s">
        <v>117</v>
      </c>
      <c r="B605" s="1">
        <v>604</v>
      </c>
      <c r="C605" s="1">
        <v>2010</v>
      </c>
      <c r="D605" s="1">
        <v>2011</v>
      </c>
      <c r="E605" s="1">
        <v>35.623770218079073</v>
      </c>
      <c r="F605" s="1">
        <v>-78.057161615515071</v>
      </c>
      <c r="G605" s="4" t="str">
        <f>HYPERLINK(CONCATENATE("https://ee-faluhong.projects.earthengine.app/view/isp-ts-evaluation#id=604 2010-&gt;2011;lat=35.62377021807907;lon=-78.05716161551507;year=2010;bf=7;level=18;"), "landsat_time_series")</f>
        <v>landsat_time_series</v>
      </c>
      <c r="H605" s="4" t="str">
        <f>HYPERLINK(CONCATENATE("https://jstnbraaten.users.earthengine.app/view/landsat-timeseries-explorer#run=true;lon=-78.05716161551507;lat=35.62377021807907;from=01-01;to=12-31;index=NDVI;rgb=NIR%2FRED%2FGREEN;chipwidth=1;"), "landsat_chips")</f>
        <v>landsat_chips</v>
      </c>
      <c r="I605" s="4" t="str">
        <f>HYPERLINK(CONCATENATE("https://livingatlas.arcgis.com/wayback/#ext=-78.05816161551508,35.62477021807907,-78.05616161551507,35.622770218079076"), "wayback")</f>
        <v>wayback</v>
      </c>
      <c r="J605" s="9" t="s">
        <v>19</v>
      </c>
      <c r="L605" s="9" t="s">
        <v>15</v>
      </c>
    </row>
    <row r="606" spans="1:13">
      <c r="A606" s="1" t="s">
        <v>117</v>
      </c>
      <c r="B606" s="1">
        <v>605</v>
      </c>
      <c r="C606" s="1">
        <v>2011</v>
      </c>
      <c r="D606" s="1">
        <v>2012</v>
      </c>
      <c r="E606" s="1">
        <v>36.757134494892</v>
      </c>
      <c r="F606" s="1">
        <v>-76.018834162395962</v>
      </c>
      <c r="G606" s="4" t="str">
        <f>HYPERLINK(CONCATENATE("https://ee-faluhong.projects.earthengine.app/view/isp-ts-evaluation#id=605 2011-&gt;2012;lat=36.757134494892;lon=-76.01883416239596;year=2011;bf=7;level=18;"), "landsat_time_series")</f>
        <v>landsat_time_series</v>
      </c>
      <c r="H606" s="4" t="str">
        <f>HYPERLINK(CONCATENATE("https://jstnbraaten.users.earthengine.app/view/landsat-timeseries-explorer#run=true;lon=-76.01883416239596;lat=36.757134494892;from=01-01;to=12-31;index=NDVI;rgb=NIR%2FRED%2FGREEN;chipwidth=1;"), "landsat_chips")</f>
        <v>landsat_chips</v>
      </c>
      <c r="I606" s="4" t="str">
        <f>HYPERLINK(CONCATENATE("https://livingatlas.arcgis.com/wayback/#ext=-76.01983416239597,36.758134494892,-76.01783416239596,36.756134494892"), "wayback")</f>
        <v>wayback</v>
      </c>
      <c r="J606" s="9" t="s">
        <v>44</v>
      </c>
      <c r="L606" s="9" t="s">
        <v>56</v>
      </c>
      <c r="M606" s="9" t="s">
        <v>139</v>
      </c>
    </row>
    <row r="607" spans="1:13">
      <c r="A607" s="1" t="s">
        <v>117</v>
      </c>
      <c r="B607" s="1">
        <v>606</v>
      </c>
      <c r="C607" s="1">
        <v>2018</v>
      </c>
      <c r="D607" s="1">
        <v>2019</v>
      </c>
      <c r="E607" s="1">
        <v>40.663636351577011</v>
      </c>
      <c r="F607" s="1">
        <v>-86.870422496644224</v>
      </c>
      <c r="G607" s="4" t="str">
        <f>HYPERLINK(CONCATENATE("https://ee-faluhong.projects.earthengine.app/view/isp-ts-evaluation#id=606 2018-&gt;2019;lat=40.66363635157701;lon=-86.87042249664422;year=2018;bf=7;level=18;"), "landsat_time_series")</f>
        <v>landsat_time_series</v>
      </c>
      <c r="H607" s="4" t="str">
        <f>HYPERLINK(CONCATENATE("https://jstnbraaten.users.earthengine.app/view/landsat-timeseries-explorer#run=true;lon=-86.87042249664422;lat=40.66363635157701;from=01-01;to=12-31;index=NDVI;rgb=NIR%2FRED%2FGREEN;chipwidth=1;"), "landsat_chips")</f>
        <v>landsat_chips</v>
      </c>
      <c r="I607" s="4" t="str">
        <f>HYPERLINK(CONCATENATE("https://livingatlas.arcgis.com/wayback/#ext=-86.87142249664423,40.66463635157701,-86.86942249664422,40.662636351577014"), "wayback")</f>
        <v>wayback</v>
      </c>
      <c r="J607" s="9" t="s">
        <v>17</v>
      </c>
      <c r="L607" s="9" t="s">
        <v>15</v>
      </c>
    </row>
    <row r="608" spans="1:13">
      <c r="A608" s="1" t="s">
        <v>117</v>
      </c>
      <c r="B608" s="1">
        <v>607</v>
      </c>
      <c r="C608" s="1">
        <v>2006</v>
      </c>
      <c r="D608" s="1">
        <v>2007</v>
      </c>
      <c r="E608" s="1">
        <v>29.463756501222178</v>
      </c>
      <c r="F608" s="1">
        <v>-98.594938918206424</v>
      </c>
      <c r="G608" s="4" t="str">
        <f>HYPERLINK(CONCATENATE("https://ee-faluhong.projects.earthengine.app/view/isp-ts-evaluation#id=607 2006-&gt;2007;lat=29.46375650122218;lon=-98.59493891820642;year=2006;bf=7;level=18;"), "landsat_time_series")</f>
        <v>landsat_time_series</v>
      </c>
      <c r="H608" s="4" t="str">
        <f>HYPERLINK(CONCATENATE("https://jstnbraaten.users.earthengine.app/view/landsat-timeseries-explorer#run=true;lon=-98.59493891820642;lat=29.46375650122218;from=01-01;to=12-31;index=NDVI;rgb=NIR%2FRED%2FGREEN;chipwidth=1;"), "landsat_chips")</f>
        <v>landsat_chips</v>
      </c>
      <c r="I608" s="4" t="str">
        <f>HYPERLINK(CONCATENATE("https://livingatlas.arcgis.com/wayback/#ext=-98.59593891820643,29.46475650122218,-98.59393891820642,29.462756501222177"), "wayback")</f>
        <v>wayback</v>
      </c>
      <c r="J608" s="9" t="s">
        <v>14</v>
      </c>
      <c r="L608" s="9" t="s">
        <v>15</v>
      </c>
    </row>
    <row r="609" spans="1:13">
      <c r="A609" s="1" t="s">
        <v>117</v>
      </c>
      <c r="B609" s="1">
        <v>608</v>
      </c>
      <c r="C609" s="1">
        <v>2015</v>
      </c>
      <c r="D609" s="1">
        <v>2016</v>
      </c>
      <c r="E609" s="1">
        <v>40.514379658776228</v>
      </c>
      <c r="F609" s="1">
        <v>-105.3999333188777</v>
      </c>
      <c r="G609" s="4" t="str">
        <f>HYPERLINK(CONCATENATE("https://ee-faluhong.projects.earthengine.app/view/isp-ts-evaluation#id=608 2015-&gt;2016;lat=40.51437965877623;lon=-105.3999333188777;year=2015;bf=7;level=18;"), "landsat_time_series")</f>
        <v>landsat_time_series</v>
      </c>
      <c r="H609" s="4" t="str">
        <f>HYPERLINK(CONCATENATE("https://jstnbraaten.users.earthengine.app/view/landsat-timeseries-explorer#run=true;lon=-105.3999333188777;lat=40.51437965877623;from=01-01;to=12-31;index=NDVI;rgb=NIR%2FRED%2FGREEN;chipwidth=1;"), "landsat_chips")</f>
        <v>landsat_chips</v>
      </c>
      <c r="I609" s="4" t="str">
        <f>HYPERLINK(CONCATENATE("https://livingatlas.arcgis.com/wayback/#ext=-105.4009333188777,40.515379658776226,-105.3989333188777,40.51337965877623"), "wayback")</f>
        <v>wayback</v>
      </c>
      <c r="J609" s="9" t="s">
        <v>19</v>
      </c>
      <c r="L609" s="9" t="s">
        <v>15</v>
      </c>
    </row>
    <row r="610" spans="1:13">
      <c r="A610" s="1" t="s">
        <v>117</v>
      </c>
      <c r="B610" s="1">
        <v>609</v>
      </c>
      <c r="C610" s="1">
        <v>2016</v>
      </c>
      <c r="D610" s="1">
        <v>2017</v>
      </c>
      <c r="E610" s="1">
        <v>34.889920073860623</v>
      </c>
      <c r="F610" s="1">
        <v>-95.002152309143725</v>
      </c>
      <c r="G610" s="4" t="str">
        <f>HYPERLINK(CONCATENATE("https://ee-faluhong.projects.earthengine.app/view/isp-ts-evaluation#id=609 2016-&gt;2017;lat=34.88992007386062;lon=-95.00215230914372;year=2016;bf=7;level=18;"), "landsat_time_series")</f>
        <v>landsat_time_series</v>
      </c>
      <c r="H610" s="4" t="str">
        <f>HYPERLINK(CONCATENATE("https://jstnbraaten.users.earthengine.app/view/landsat-timeseries-explorer#run=true;lon=-95.00215230914372;lat=34.88992007386062;from=01-01;to=12-31;index=NDVI;rgb=NIR%2FRED%2FGREEN;chipwidth=1;"), "landsat_chips")</f>
        <v>landsat_chips</v>
      </c>
      <c r="I610" s="4" t="str">
        <f>HYPERLINK(CONCATENATE("https://livingatlas.arcgis.com/wayback/#ext=-95.00315230914373,34.89092007386062,-95.00115230914372,34.888920073860625"), "wayback")</f>
        <v>wayback</v>
      </c>
      <c r="J610" s="9" t="s">
        <v>21</v>
      </c>
      <c r="L610" s="9" t="s">
        <v>24</v>
      </c>
    </row>
    <row r="611" spans="1:13">
      <c r="A611" s="1" t="s">
        <v>117</v>
      </c>
      <c r="B611" s="1">
        <v>610</v>
      </c>
      <c r="C611" s="1">
        <v>2009</v>
      </c>
      <c r="D611" s="1">
        <v>2010</v>
      </c>
      <c r="E611" s="1">
        <v>28.177966335870281</v>
      </c>
      <c r="F611" s="1">
        <v>-81.642526426078774</v>
      </c>
      <c r="G611" s="4" t="str">
        <f>HYPERLINK(CONCATENATE("https://ee-faluhong.projects.earthengine.app/view/isp-ts-evaluation#id=610 2009-&gt;2010;lat=28.17796633587028;lon=-81.64252642607877;year=2009;bf=7;level=18;"), "landsat_time_series")</f>
        <v>landsat_time_series</v>
      </c>
      <c r="H611" s="4" t="str">
        <f>HYPERLINK(CONCATENATE("https://jstnbraaten.users.earthengine.app/view/landsat-timeseries-explorer#run=true;lon=-81.64252642607877;lat=28.17796633587028;from=01-01;to=12-31;index=NDVI;rgb=NIR%2FRED%2FGREEN;chipwidth=1;"), "landsat_chips")</f>
        <v>landsat_chips</v>
      </c>
      <c r="I611" s="4" t="str">
        <f>HYPERLINK(CONCATENATE("https://livingatlas.arcgis.com/wayback/#ext=-81.64352642607878,28.17896633587028,-81.64152642607877,28.17696633587028"), "wayback")</f>
        <v>wayback</v>
      </c>
      <c r="J611" s="9" t="s">
        <v>19</v>
      </c>
      <c r="L611" s="9" t="s">
        <v>15</v>
      </c>
      <c r="M611" s="9" t="s">
        <v>140</v>
      </c>
    </row>
    <row r="612" spans="1:13">
      <c r="A612" s="1" t="s">
        <v>117</v>
      </c>
      <c r="B612" s="1">
        <v>611</v>
      </c>
      <c r="C612" s="1">
        <v>2006</v>
      </c>
      <c r="D612" s="1">
        <v>2007</v>
      </c>
      <c r="E612" s="1">
        <v>44.177257880285993</v>
      </c>
      <c r="F612" s="1">
        <v>-92.897354709113742</v>
      </c>
      <c r="G612" s="4" t="str">
        <f>HYPERLINK(CONCATENATE("https://ee-faluhong.projects.earthengine.app/view/isp-ts-evaluation#id=611 2006-&gt;2007;lat=44.17725788028599;lon=-92.89735470911374;year=2006;bf=7;level=18;"), "landsat_time_series")</f>
        <v>landsat_time_series</v>
      </c>
      <c r="H612" s="4" t="str">
        <f>HYPERLINK(CONCATENATE("https://jstnbraaten.users.earthengine.app/view/landsat-timeseries-explorer#run=true;lon=-92.89735470911374;lat=44.17725788028599;from=01-01;to=12-31;index=NDVI;rgb=NIR%2FRED%2FGREEN;chipwidth=1;"), "landsat_chips")</f>
        <v>landsat_chips</v>
      </c>
      <c r="I612" s="4" t="str">
        <f>HYPERLINK(CONCATENATE("https://livingatlas.arcgis.com/wayback/#ext=-92.89835470911375,44.17825788028599,-92.89635470911374,44.176257880285995"), "wayback")</f>
        <v>wayback</v>
      </c>
      <c r="J612" s="9" t="s">
        <v>17</v>
      </c>
      <c r="L612" s="9" t="s">
        <v>15</v>
      </c>
    </row>
    <row r="613" spans="1:13">
      <c r="A613" s="1" t="s">
        <v>117</v>
      </c>
      <c r="B613" s="1">
        <v>612</v>
      </c>
      <c r="C613" s="1">
        <v>2003</v>
      </c>
      <c r="D613" s="1">
        <v>2004</v>
      </c>
      <c r="E613" s="1">
        <v>27.105267410094299</v>
      </c>
      <c r="F613" s="1">
        <v>-98.16437623289417</v>
      </c>
      <c r="G613" s="4" t="str">
        <f>HYPERLINK(CONCATENATE("https://ee-faluhong.projects.earthengine.app/view/isp-ts-evaluation#id=612 2003-&gt;2004;lat=27.1052674100943;lon=-98.16437623289417;year=2003;bf=7;level=18;"), "landsat_time_series")</f>
        <v>landsat_time_series</v>
      </c>
      <c r="H613" s="4" t="str">
        <f>HYPERLINK(CONCATENATE("https://jstnbraaten.users.earthengine.app/view/landsat-timeseries-explorer#run=true;lon=-98.16437623289417;lat=27.1052674100943;from=01-01;to=12-31;index=NDVI;rgb=NIR%2FRED%2FGREEN;chipwidth=1;"), "landsat_chips")</f>
        <v>landsat_chips</v>
      </c>
      <c r="I613" s="4" t="str">
        <f>HYPERLINK(CONCATENATE("https://livingatlas.arcgis.com/wayback/#ext=-98.16537623289418,27.1062674100943,-98.16337623289417,27.104267410094298"), "wayback")</f>
        <v>wayback</v>
      </c>
      <c r="J613" s="9" t="s">
        <v>19</v>
      </c>
      <c r="L613" s="9" t="s">
        <v>15</v>
      </c>
    </row>
    <row r="614" spans="1:13">
      <c r="A614" s="1" t="s">
        <v>117</v>
      </c>
      <c r="B614" s="1">
        <v>613</v>
      </c>
      <c r="C614" s="1">
        <v>2001</v>
      </c>
      <c r="D614" s="1">
        <v>2002</v>
      </c>
      <c r="E614" s="1">
        <v>39.661126898217589</v>
      </c>
      <c r="F614" s="1">
        <v>-75.596786475501332</v>
      </c>
      <c r="G614" s="4" t="str">
        <f>HYPERLINK(CONCATENATE("https://ee-faluhong.projects.earthengine.app/view/isp-ts-evaluation#id=613 2001-&gt;2002;lat=39.66112689821759;lon=-75.59678647550133;year=2001;bf=7;level=18;"), "landsat_time_series")</f>
        <v>landsat_time_series</v>
      </c>
      <c r="H614" s="4" t="str">
        <f>HYPERLINK(CONCATENATE("https://jstnbraaten.users.earthengine.app/view/landsat-timeseries-explorer#run=true;lon=-75.59678647550133;lat=39.66112689821759;from=01-01;to=12-31;index=NDVI;rgb=NIR%2FRED%2FGREEN;chipwidth=1;"), "landsat_chips")</f>
        <v>landsat_chips</v>
      </c>
      <c r="I614" s="4" t="str">
        <f>HYPERLINK(CONCATENATE("https://livingatlas.arcgis.com/wayback/#ext=-75.59778647550134,39.662126898217586,-75.59578647550133,39.66012689821759"), "wayback")</f>
        <v>wayback</v>
      </c>
      <c r="J614" s="9" t="s">
        <v>17</v>
      </c>
      <c r="L614" s="9" t="s">
        <v>15</v>
      </c>
    </row>
    <row r="615" spans="1:13">
      <c r="A615" s="1" t="s">
        <v>117</v>
      </c>
      <c r="B615" s="1">
        <v>614</v>
      </c>
      <c r="C615" s="1">
        <v>2005</v>
      </c>
      <c r="D615" s="1">
        <v>2006</v>
      </c>
      <c r="E615" s="1">
        <v>35.874776956941098</v>
      </c>
      <c r="F615" s="1">
        <v>-102.89364832430699</v>
      </c>
      <c r="G615" s="4" t="str">
        <f>HYPERLINK(CONCATENATE("https://ee-faluhong.projects.earthengine.app/view/isp-ts-evaluation#id=614 2005-&gt;2006;lat=35.8747769569411;lon=-102.893648324307;year=2005;bf=7;level=18;"), "landsat_time_series")</f>
        <v>landsat_time_series</v>
      </c>
      <c r="H615" s="4" t="str">
        <f>HYPERLINK(CONCATENATE("https://jstnbraaten.users.earthengine.app/view/landsat-timeseries-explorer#run=true;lon=-102.893648324307;lat=35.8747769569411;from=01-01;to=12-31;index=NDVI;rgb=NIR%2FRED%2FGREEN;chipwidth=1;"), "landsat_chips")</f>
        <v>landsat_chips</v>
      </c>
      <c r="I615" s="4" t="str">
        <f>HYPERLINK(CONCATENATE("https://livingatlas.arcgis.com/wayback/#ext=-102.894648324307,35.875776956941095,-102.89264832430699,35.8737769569411"), "wayback")</f>
        <v>wayback</v>
      </c>
      <c r="J615" s="9" t="s">
        <v>19</v>
      </c>
      <c r="L615" s="9" t="s">
        <v>15</v>
      </c>
    </row>
    <row r="616" spans="1:13">
      <c r="A616" s="1" t="s">
        <v>117</v>
      </c>
      <c r="B616" s="1">
        <v>615</v>
      </c>
      <c r="C616" s="1">
        <v>2003</v>
      </c>
      <c r="D616" s="1">
        <v>2004</v>
      </c>
      <c r="E616" s="1">
        <v>34.209466424430332</v>
      </c>
      <c r="F616" s="1">
        <v>-113.19028782270939</v>
      </c>
      <c r="G616" s="4" t="str">
        <f>HYPERLINK(CONCATENATE("https://ee-faluhong.projects.earthengine.app/view/isp-ts-evaluation#id=615 2003-&gt;2004;lat=34.20946642443033;lon=-113.1902878227094;year=2003;bf=7;level=18;"), "landsat_time_series")</f>
        <v>landsat_time_series</v>
      </c>
      <c r="H616" s="4" t="str">
        <f>HYPERLINK(CONCATENATE("https://jstnbraaten.users.earthengine.app/view/landsat-timeseries-explorer#run=true;lon=-113.1902878227094;lat=34.20946642443033;from=01-01;to=12-31;index=NDVI;rgb=NIR%2FRED%2FGREEN;chipwidth=1;"), "landsat_chips")</f>
        <v>landsat_chips</v>
      </c>
      <c r="I616" s="4" t="str">
        <f>HYPERLINK(CONCATENATE("https://livingatlas.arcgis.com/wayback/#ext=-113.1912878227094,34.21046642443033,-113.18928782270939,34.208466424430334"), "wayback")</f>
        <v>wayback</v>
      </c>
      <c r="J616" s="9" t="s">
        <v>19</v>
      </c>
      <c r="L616" s="9" t="s">
        <v>15</v>
      </c>
    </row>
    <row r="617" spans="1:13">
      <c r="A617" s="1" t="s">
        <v>117</v>
      </c>
      <c r="B617" s="1">
        <v>616</v>
      </c>
      <c r="C617" s="1">
        <v>2006</v>
      </c>
      <c r="D617" s="1">
        <v>2007</v>
      </c>
      <c r="E617" s="1">
        <v>31.551149769130181</v>
      </c>
      <c r="F617" s="1">
        <v>-83.393437663336783</v>
      </c>
      <c r="G617" s="4" t="str">
        <f>HYPERLINK(CONCATENATE("https://ee-faluhong.projects.earthengine.app/view/isp-ts-evaluation#id=616 2006-&gt;2007;lat=31.55114976913018;lon=-83.39343766333678;year=2006;bf=7;level=18;"), "landsat_time_series")</f>
        <v>landsat_time_series</v>
      </c>
      <c r="H617" s="4" t="str">
        <f>HYPERLINK(CONCATENATE("https://jstnbraaten.users.earthengine.app/view/landsat-timeseries-explorer#run=true;lon=-83.39343766333678;lat=31.55114976913018;from=01-01;to=12-31;index=NDVI;rgb=NIR%2FRED%2FGREEN;chipwidth=1;"), "landsat_chips")</f>
        <v>landsat_chips</v>
      </c>
      <c r="I617" s="4" t="str">
        <f>HYPERLINK(CONCATENATE("https://livingatlas.arcgis.com/wayback/#ext=-83.39443766333679,31.55214976913018,-83.39243766333678,31.55014976913018"), "wayback")</f>
        <v>wayback</v>
      </c>
      <c r="J617" s="9" t="s">
        <v>17</v>
      </c>
      <c r="L617" s="9" t="s">
        <v>15</v>
      </c>
    </row>
    <row r="618" spans="1:13">
      <c r="A618" s="1" t="s">
        <v>117</v>
      </c>
      <c r="B618" s="1">
        <v>617</v>
      </c>
      <c r="C618" s="1">
        <v>2002</v>
      </c>
      <c r="D618" s="1">
        <v>2003</v>
      </c>
      <c r="E618" s="1">
        <v>26.852389027216262</v>
      </c>
      <c r="F618" s="1">
        <v>-80.125630672523755</v>
      </c>
      <c r="G618" s="4" t="str">
        <f>HYPERLINK(CONCATENATE("https://ee-faluhong.projects.earthengine.app/view/isp-ts-evaluation#id=617 2002-&gt;2003;lat=26.85238902721626;lon=-80.12563067252376;year=2002;bf=7;level=18;"), "landsat_time_series")</f>
        <v>landsat_time_series</v>
      </c>
      <c r="H618" s="4" t="str">
        <f>HYPERLINK(CONCATENATE("https://jstnbraaten.users.earthengine.app/view/landsat-timeseries-explorer#run=true;lon=-80.12563067252376;lat=26.85238902721626;from=01-01;to=12-31;index=NDVI;rgb=NIR%2FRED%2FGREEN;chipwidth=1;"), "landsat_chips")</f>
        <v>landsat_chips</v>
      </c>
      <c r="I618" s="4" t="str">
        <f>HYPERLINK(CONCATENATE("https://livingatlas.arcgis.com/wayback/#ext=-80.12663067252376,26.853389027216263,-80.12463067252375,26.85138902721626"), "wayback")</f>
        <v>wayback</v>
      </c>
      <c r="J618" s="9" t="s">
        <v>25</v>
      </c>
      <c r="K618" s="9" t="s">
        <v>26</v>
      </c>
      <c r="L618" s="9" t="s">
        <v>24</v>
      </c>
      <c r="M618" s="9" t="s">
        <v>141</v>
      </c>
    </row>
    <row r="619" spans="1:13">
      <c r="A619" s="1" t="s">
        <v>117</v>
      </c>
      <c r="B619" s="1">
        <v>618</v>
      </c>
      <c r="C619" s="1">
        <v>2014</v>
      </c>
      <c r="D619" s="1">
        <v>2015</v>
      </c>
      <c r="E619" s="1">
        <v>40.523048596103628</v>
      </c>
      <c r="F619" s="1">
        <v>-84.895903092606176</v>
      </c>
      <c r="G619" s="4" t="str">
        <f>HYPERLINK(CONCATENATE("https://ee-faluhong.projects.earthengine.app/view/isp-ts-evaluation#id=618 2014-&gt;2015;lat=40.52304859610363;lon=-84.89590309260618;year=2014;bf=7;level=18;"), "landsat_time_series")</f>
        <v>landsat_time_series</v>
      </c>
      <c r="H619" s="4" t="str">
        <f>HYPERLINK(CONCATENATE("https://jstnbraaten.users.earthengine.app/view/landsat-timeseries-explorer#run=true;lon=-84.89590309260618;lat=40.52304859610363;from=01-01;to=12-31;index=NDVI;rgb=NIR%2FRED%2FGREEN;chipwidth=1;"), "landsat_chips")</f>
        <v>landsat_chips</v>
      </c>
      <c r="I619" s="4" t="str">
        <f>HYPERLINK(CONCATENATE("https://livingatlas.arcgis.com/wayback/#ext=-84.89690309260618,40.524048596103626,-84.89490309260617,40.52204859610363"), "wayback")</f>
        <v>wayback</v>
      </c>
      <c r="J619" s="9" t="s">
        <v>14</v>
      </c>
      <c r="L619" s="9" t="s">
        <v>15</v>
      </c>
    </row>
    <row r="620" spans="1:13">
      <c r="A620" s="1" t="s">
        <v>117</v>
      </c>
      <c r="B620" s="1">
        <v>619</v>
      </c>
      <c r="C620" s="1">
        <v>2010</v>
      </c>
      <c r="D620" s="1">
        <v>2011</v>
      </c>
      <c r="E620" s="1">
        <v>34.093181223805487</v>
      </c>
      <c r="F620" s="1">
        <v>-117.51851444510061</v>
      </c>
      <c r="G620" s="4" t="str">
        <f>HYPERLINK(CONCATENATE("https://ee-faluhong.projects.earthengine.app/view/isp-ts-evaluation#id=619 2010-&gt;2011;lat=34.09318122380549;lon=-117.5185144451006;year=2010;bf=7;level=18;"), "landsat_time_series")</f>
        <v>landsat_time_series</v>
      </c>
      <c r="H620" s="4" t="str">
        <f>HYPERLINK(CONCATENATE("https://jstnbraaten.users.earthengine.app/view/landsat-timeseries-explorer#run=true;lon=-117.5185144451006;lat=34.09318122380549;from=01-01;to=12-31;index=NDVI;rgb=NIR%2FRED%2FGREEN;chipwidth=1;"), "landsat_chips")</f>
        <v>landsat_chips</v>
      </c>
      <c r="I620" s="4" t="str">
        <f>HYPERLINK(CONCATENATE("https://livingatlas.arcgis.com/wayback/#ext=-117.51951444510061,34.094181223805485,-117.5175144451006,34.09218122380549"), "wayback")</f>
        <v>wayback</v>
      </c>
      <c r="J620" s="9" t="s">
        <v>27</v>
      </c>
      <c r="L620" s="9" t="s">
        <v>24</v>
      </c>
    </row>
    <row r="621" spans="1:13">
      <c r="A621" s="1" t="s">
        <v>117</v>
      </c>
      <c r="B621" s="1">
        <v>620</v>
      </c>
      <c r="C621" s="1">
        <v>2005</v>
      </c>
      <c r="D621" s="1">
        <v>2006</v>
      </c>
      <c r="E621" s="1">
        <v>36.239483472630333</v>
      </c>
      <c r="F621" s="1">
        <v>-91.609118058937199</v>
      </c>
      <c r="G621" s="4" t="str">
        <f>HYPERLINK(CONCATENATE("https://ee-faluhong.projects.earthengine.app/view/isp-ts-evaluation#id=620 2005-&gt;2006;lat=36.23948347263033;lon=-91.6091180589372;year=2005;bf=7;level=18;"), "landsat_time_series")</f>
        <v>landsat_time_series</v>
      </c>
      <c r="H621" s="4" t="str">
        <f>HYPERLINK(CONCATENATE("https://jstnbraaten.users.earthengine.app/view/landsat-timeseries-explorer#run=true;lon=-91.6091180589372;lat=36.23948347263033;from=01-01;to=12-31;index=NDVI;rgb=NIR%2FRED%2FGREEN;chipwidth=1;"), "landsat_chips")</f>
        <v>landsat_chips</v>
      </c>
      <c r="I621" s="4" t="str">
        <f>HYPERLINK(CONCATENATE("https://livingatlas.arcgis.com/wayback/#ext=-91.6101180589372,36.24048347263033,-91.6081180589372,36.238483472630335"), "wayback")</f>
        <v>wayback</v>
      </c>
      <c r="J621" s="9" t="s">
        <v>17</v>
      </c>
      <c r="L621" s="9" t="s">
        <v>15</v>
      </c>
    </row>
    <row r="622" spans="1:13">
      <c r="A622" s="1" t="s">
        <v>117</v>
      </c>
      <c r="B622" s="1">
        <v>621</v>
      </c>
      <c r="C622" s="1">
        <v>2017</v>
      </c>
      <c r="D622" s="1">
        <v>2018</v>
      </c>
      <c r="E622" s="1">
        <v>33.20969286703432</v>
      </c>
      <c r="F622" s="1">
        <v>-84.538435020737211</v>
      </c>
      <c r="G622" s="4" t="str">
        <f>HYPERLINK(CONCATENATE("https://ee-faluhong.projects.earthengine.app/view/isp-ts-evaluation#id=621 2017-&gt;2018;lat=33.20969286703432;lon=-84.53843502073721;year=2017;bf=7;level=18;"), "landsat_time_series")</f>
        <v>landsat_time_series</v>
      </c>
      <c r="H622" s="4" t="str">
        <f>HYPERLINK(CONCATENATE("https://jstnbraaten.users.earthengine.app/view/landsat-timeseries-explorer#run=true;lon=-84.53843502073721;lat=33.20969286703432;from=01-01;to=12-31;index=NDVI;rgb=NIR%2FRED%2FGREEN;chipwidth=1;"), "landsat_chips")</f>
        <v>landsat_chips</v>
      </c>
      <c r="I622" s="4" t="str">
        <f>HYPERLINK(CONCATENATE("https://livingatlas.arcgis.com/wayback/#ext=-84.53943502073722,33.21069286703432,-84.5374350207372,33.20869286703432"), "wayback")</f>
        <v>wayback</v>
      </c>
      <c r="J622" s="9" t="s">
        <v>25</v>
      </c>
      <c r="K622" s="9" t="s">
        <v>26</v>
      </c>
      <c r="L622" s="9" t="s">
        <v>15</v>
      </c>
      <c r="M622" s="9" t="s">
        <v>141</v>
      </c>
    </row>
    <row r="623" spans="1:13">
      <c r="A623" s="1" t="s">
        <v>117</v>
      </c>
      <c r="B623" s="1">
        <v>622</v>
      </c>
      <c r="C623" s="1">
        <v>2005</v>
      </c>
      <c r="D623" s="1">
        <v>2006</v>
      </c>
      <c r="E623" s="1">
        <v>38.309474828266993</v>
      </c>
      <c r="F623" s="1">
        <v>-86.982627571519942</v>
      </c>
      <c r="G623" s="4" t="str">
        <f>HYPERLINK(CONCATENATE("https://ee-faluhong.projects.earthengine.app/view/isp-ts-evaluation#id=622 2005-&gt;2006;lat=38.30947482826699;lon=-86.98262757151994;year=2005;bf=7;level=18;"), "landsat_time_series")</f>
        <v>landsat_time_series</v>
      </c>
      <c r="H623" s="4" t="str">
        <f>HYPERLINK(CONCATENATE("https://jstnbraaten.users.earthengine.app/view/landsat-timeseries-explorer#run=true;lon=-86.98262757151994;lat=38.30947482826699;from=01-01;to=12-31;index=NDVI;rgb=NIR%2FRED%2FGREEN;chipwidth=1;"), "landsat_chips")</f>
        <v>landsat_chips</v>
      </c>
      <c r="I623" s="4" t="str">
        <f>HYPERLINK(CONCATENATE("https://livingatlas.arcgis.com/wayback/#ext=-86.98362757151995,38.31047482826699,-86.98162757151994,38.308474828266995"), "wayback")</f>
        <v>wayback</v>
      </c>
      <c r="J623" s="9" t="s">
        <v>21</v>
      </c>
      <c r="L623" s="9" t="s">
        <v>24</v>
      </c>
    </row>
    <row r="624" spans="1:13">
      <c r="A624" s="1" t="s">
        <v>117</v>
      </c>
      <c r="B624" s="1">
        <v>623</v>
      </c>
      <c r="C624" s="1">
        <v>2015</v>
      </c>
      <c r="D624" s="1">
        <v>2016</v>
      </c>
      <c r="E624" s="1">
        <v>32.753285245600857</v>
      </c>
      <c r="F624" s="1">
        <v>-97.380917660836133</v>
      </c>
      <c r="G624" s="4" t="str">
        <f>HYPERLINK(CONCATENATE("https://ee-faluhong.projects.earthengine.app/view/isp-ts-evaluation#id=623 2015-&gt;2016;lat=32.75328524560086;lon=-97.38091766083613;year=2015;bf=7;level=18;"), "landsat_time_series")</f>
        <v>landsat_time_series</v>
      </c>
      <c r="H624" s="4" t="str">
        <f>HYPERLINK(CONCATENATE("https://jstnbraaten.users.earthengine.app/view/landsat-timeseries-explorer#run=true;lon=-97.38091766083613;lat=32.75328524560086;from=01-01;to=12-31;index=NDVI;rgb=NIR%2FRED%2FGREEN;chipwidth=1;"), "landsat_chips")</f>
        <v>landsat_chips</v>
      </c>
      <c r="I624" s="4" t="str">
        <f>HYPERLINK(CONCATENATE("https://livingatlas.arcgis.com/wayback/#ext=-97.38191766083614,32.754285245600855,-97.37991766083613,32.75228524560086"), "wayback")</f>
        <v>wayback</v>
      </c>
      <c r="J624" s="9" t="s">
        <v>21</v>
      </c>
      <c r="L624" s="9" t="s">
        <v>24</v>
      </c>
      <c r="M624" s="9" t="s">
        <v>142</v>
      </c>
    </row>
    <row r="625" spans="1:13">
      <c r="A625" s="1" t="s">
        <v>117</v>
      </c>
      <c r="B625" s="1">
        <v>624</v>
      </c>
      <c r="C625" s="1">
        <v>2004</v>
      </c>
      <c r="D625" s="1">
        <v>2005</v>
      </c>
      <c r="E625" s="1">
        <v>34.679716329763259</v>
      </c>
      <c r="F625" s="1">
        <v>-92.356300075811163</v>
      </c>
      <c r="G625" s="4" t="str">
        <f>HYPERLINK(CONCATENATE("https://ee-faluhong.projects.earthengine.app/view/isp-ts-evaluation#id=624 2004-&gt;2005;lat=34.67971632976326;lon=-92.35630007581116;year=2004;bf=7;level=18;"), "landsat_time_series")</f>
        <v>landsat_time_series</v>
      </c>
      <c r="H625" s="4" t="str">
        <f>HYPERLINK(CONCATENATE("https://jstnbraaten.users.earthengine.app/view/landsat-timeseries-explorer#run=true;lon=-92.35630007581116;lat=34.67971632976326;from=01-01;to=12-31;index=NDVI;rgb=NIR%2FRED%2FGREEN;chipwidth=1;"), "landsat_chips")</f>
        <v>landsat_chips</v>
      </c>
      <c r="I625" s="4" t="str">
        <f>HYPERLINK(CONCATENATE("https://livingatlas.arcgis.com/wayback/#ext=-92.35730007581117,34.68071632976326,-92.35530007581116,34.67871632976326"), "wayback")</f>
        <v>wayback</v>
      </c>
      <c r="J625" s="9" t="s">
        <v>34</v>
      </c>
      <c r="L625" s="9" t="s">
        <v>31</v>
      </c>
      <c r="M625" s="9" t="s">
        <v>143</v>
      </c>
    </row>
    <row r="626" spans="1:13">
      <c r="A626" s="1" t="s">
        <v>117</v>
      </c>
      <c r="B626" s="1">
        <v>625</v>
      </c>
      <c r="C626" s="1">
        <v>2014</v>
      </c>
      <c r="D626" s="1">
        <v>2015</v>
      </c>
      <c r="E626" s="1">
        <v>30.165398237424782</v>
      </c>
      <c r="F626" s="1">
        <v>-97.889830113573538</v>
      </c>
      <c r="G626" s="4" t="str">
        <f>HYPERLINK(CONCATENATE("https://ee-faluhong.projects.earthengine.app/view/isp-ts-evaluation#id=625 2014-&gt;2015;lat=30.16539823742478;lon=-97.88983011357354;year=2014;bf=7;level=18;"), "landsat_time_series")</f>
        <v>landsat_time_series</v>
      </c>
      <c r="H626" s="4" t="str">
        <f>HYPERLINK(CONCATENATE("https://jstnbraaten.users.earthengine.app/view/landsat-timeseries-explorer#run=true;lon=-97.88983011357354;lat=30.16539823742478;from=01-01;to=12-31;index=NDVI;rgb=NIR%2FRED%2FGREEN;chipwidth=1;"), "landsat_chips")</f>
        <v>landsat_chips</v>
      </c>
      <c r="I626" s="4" t="str">
        <f>HYPERLINK(CONCATENATE("https://livingatlas.arcgis.com/wayback/#ext=-97.89083011357354,30.166398237424783,-97.88883011357353,30.16439823742478"), "wayback")</f>
        <v>wayback</v>
      </c>
      <c r="J626" s="9" t="s">
        <v>14</v>
      </c>
      <c r="L626" s="9" t="s">
        <v>24</v>
      </c>
    </row>
    <row r="627" spans="1:13">
      <c r="A627" s="1" t="s">
        <v>117</v>
      </c>
      <c r="B627" s="1">
        <v>626</v>
      </c>
      <c r="C627" s="1">
        <v>2014</v>
      </c>
      <c r="D627" s="1">
        <v>2015</v>
      </c>
      <c r="E627" s="1">
        <v>33.330563271012309</v>
      </c>
      <c r="F627" s="1">
        <v>-93.240335458741754</v>
      </c>
      <c r="G627" s="4" t="str">
        <f>HYPERLINK(CONCATENATE("https://ee-faluhong.projects.earthengine.app/view/isp-ts-evaluation#id=626 2014-&gt;2015;lat=33.33056327101231;lon=-93.24033545874175;year=2014;bf=7;level=18;"), "landsat_time_series")</f>
        <v>landsat_time_series</v>
      </c>
      <c r="H627" s="4" t="str">
        <f>HYPERLINK(CONCATENATE("https://jstnbraaten.users.earthengine.app/view/landsat-timeseries-explorer#run=true;lon=-93.24033545874175;lat=33.33056327101231;from=01-01;to=12-31;index=NDVI;rgb=NIR%2FRED%2FGREEN;chipwidth=1;"), "landsat_chips")</f>
        <v>landsat_chips</v>
      </c>
      <c r="I627" s="4" t="str">
        <f>HYPERLINK(CONCATENATE("https://livingatlas.arcgis.com/wayback/#ext=-93.24133545874176,33.33156327101231,-93.23933545874175,33.32956327101231"), "wayback")</f>
        <v>wayback</v>
      </c>
      <c r="J627" s="9" t="s">
        <v>25</v>
      </c>
      <c r="K627" s="9" t="s">
        <v>26</v>
      </c>
      <c r="L627" s="9" t="s">
        <v>15</v>
      </c>
      <c r="M627" s="9" t="s">
        <v>141</v>
      </c>
    </row>
    <row r="628" spans="1:13">
      <c r="A628" s="1" t="s">
        <v>117</v>
      </c>
      <c r="B628" s="1">
        <v>627</v>
      </c>
      <c r="C628" s="1">
        <v>2019</v>
      </c>
      <c r="D628" s="1">
        <v>2020</v>
      </c>
      <c r="E628" s="1">
        <v>29.591463511151531</v>
      </c>
      <c r="F628" s="1">
        <v>-95.535098403974104</v>
      </c>
      <c r="G628" s="4" t="str">
        <f>HYPERLINK(CONCATENATE("https://ee-faluhong.projects.earthengine.app/view/isp-ts-evaluation#id=627 2019-&gt;2020;lat=29.59146351115153;lon=-95.5350984039741;year=2019;bf=7;level=18;"), "landsat_time_series")</f>
        <v>landsat_time_series</v>
      </c>
      <c r="H628" s="4" t="str">
        <f>HYPERLINK(CONCATENATE("https://jstnbraaten.users.earthengine.app/view/landsat-timeseries-explorer#run=true;lon=-95.5350984039741;lat=29.59146351115153;from=01-01;to=12-31;index=NDVI;rgb=NIR%2FRED%2FGREEN;chipwidth=1;"), "landsat_chips")</f>
        <v>landsat_chips</v>
      </c>
      <c r="I628" s="4" t="str">
        <f>HYPERLINK(CONCATENATE("https://livingatlas.arcgis.com/wayback/#ext=-95.53609840397411,29.592463511151532,-95.5340984039741,29.59046351115153"), "wayback")</f>
        <v>wayback</v>
      </c>
      <c r="J628" s="9" t="s">
        <v>14</v>
      </c>
      <c r="L628" s="9" t="s">
        <v>24</v>
      </c>
    </row>
    <row r="629" spans="1:13">
      <c r="A629" s="1" t="s">
        <v>117</v>
      </c>
      <c r="B629" s="1">
        <v>628</v>
      </c>
      <c r="C629" s="1">
        <v>2009</v>
      </c>
      <c r="D629" s="1">
        <v>2010</v>
      </c>
      <c r="E629" s="1">
        <v>32.466064972335943</v>
      </c>
      <c r="F629" s="1">
        <v>-92.533835726124181</v>
      </c>
      <c r="G629" s="4" t="str">
        <f>HYPERLINK(CONCATENATE("https://ee-faluhong.projects.earthengine.app/view/isp-ts-evaluation#id=628 2009-&gt;2010;lat=32.46606497233594;lon=-92.53383572612418;year=2009;bf=7;level=18;"), "landsat_time_series")</f>
        <v>landsat_time_series</v>
      </c>
      <c r="H629" s="4" t="str">
        <f>HYPERLINK(CONCATENATE("https://jstnbraaten.users.earthengine.app/view/landsat-timeseries-explorer#run=true;lon=-92.53383572612418;lat=32.46606497233594;from=01-01;to=12-31;index=NDVI;rgb=NIR%2FRED%2FGREEN;chipwidth=1;"), "landsat_chips")</f>
        <v>landsat_chips</v>
      </c>
      <c r="I629" s="4" t="str">
        <f>HYPERLINK(CONCATENATE("https://livingatlas.arcgis.com/wayback/#ext=-92.53483572612419,32.46706497233594,-92.53283572612418,32.465064972335945"), "wayback")</f>
        <v>wayback</v>
      </c>
      <c r="J629" s="9" t="s">
        <v>14</v>
      </c>
      <c r="L629" s="9" t="s">
        <v>15</v>
      </c>
    </row>
    <row r="630" spans="1:13">
      <c r="A630" s="1" t="s">
        <v>117</v>
      </c>
      <c r="B630" s="1">
        <v>629</v>
      </c>
      <c r="C630" s="1">
        <v>2006</v>
      </c>
      <c r="D630" s="1">
        <v>2007</v>
      </c>
      <c r="E630" s="1">
        <v>39.474170510918782</v>
      </c>
      <c r="F630" s="1">
        <v>-123.7967831075524</v>
      </c>
      <c r="G630" s="4" t="str">
        <f>HYPERLINK(CONCATENATE("https://ee-faluhong.projects.earthengine.app/view/isp-ts-evaluation#id=629 2006-&gt;2007;lat=39.47417051091878;lon=-123.7967831075524;year=2006;bf=7;level=18;"), "landsat_time_series")</f>
        <v>landsat_time_series</v>
      </c>
      <c r="H630" s="4" t="str">
        <f>HYPERLINK(CONCATENATE("https://jstnbraaten.users.earthengine.app/view/landsat-timeseries-explorer#run=true;lon=-123.7967831075524;lat=39.47417051091878;from=01-01;to=12-31;index=NDVI;rgb=NIR%2FRED%2FGREEN;chipwidth=1;"), "landsat_chips")</f>
        <v>landsat_chips</v>
      </c>
      <c r="I630" s="4" t="str">
        <f>HYPERLINK(CONCATENATE("https://livingatlas.arcgis.com/wayback/#ext=-123.7977831075524,39.47517051091878,-123.7957831075524,39.473170510918784"), "wayback")</f>
        <v>wayback</v>
      </c>
      <c r="J630" s="9" t="s">
        <v>19</v>
      </c>
      <c r="L630" s="9" t="s">
        <v>31</v>
      </c>
      <c r="M630" s="9" t="s">
        <v>144</v>
      </c>
    </row>
    <row r="631" spans="1:13">
      <c r="A631" s="1" t="s">
        <v>117</v>
      </c>
      <c r="B631" s="1">
        <v>630</v>
      </c>
      <c r="C631" s="1">
        <v>2013</v>
      </c>
      <c r="D631" s="1">
        <v>2014</v>
      </c>
      <c r="E631" s="1">
        <v>38.084878055841848</v>
      </c>
      <c r="F631" s="1">
        <v>-99.888807576710761</v>
      </c>
      <c r="G631" s="4" t="str">
        <f>HYPERLINK(CONCATENATE("https://ee-faluhong.projects.earthengine.app/view/isp-ts-evaluation#id=630 2013-&gt;2014;lat=38.08487805584185;lon=-99.88880757671076;year=2013;bf=7;level=18;"), "landsat_time_series")</f>
        <v>landsat_time_series</v>
      </c>
      <c r="H631" s="4" t="str">
        <f>HYPERLINK(CONCATENATE("https://jstnbraaten.users.earthengine.app/view/landsat-timeseries-explorer#run=true;lon=-99.88880757671076;lat=38.08487805584185;from=01-01;to=12-31;index=NDVI;rgb=NIR%2FRED%2FGREEN;chipwidth=1;"), "landsat_chips")</f>
        <v>landsat_chips</v>
      </c>
      <c r="I631" s="4" t="str">
        <f>HYPERLINK(CONCATENATE("https://livingatlas.arcgis.com/wayback/#ext=-99.88980757671077,38.085878055841846,-99.88780757671076,38.08387805584185"), "wayback")</f>
        <v>wayback</v>
      </c>
      <c r="J631" s="9" t="s">
        <v>25</v>
      </c>
      <c r="K631" s="9" t="s">
        <v>26</v>
      </c>
      <c r="L631" s="9" t="s">
        <v>24</v>
      </c>
      <c r="M631" s="9" t="s">
        <v>132</v>
      </c>
    </row>
    <row r="632" spans="1:13">
      <c r="A632" s="1" t="s">
        <v>117</v>
      </c>
      <c r="B632" s="1">
        <v>631</v>
      </c>
      <c r="C632" s="1">
        <v>2014</v>
      </c>
      <c r="D632" s="1">
        <v>2015</v>
      </c>
      <c r="E632" s="1">
        <v>32.665650902489602</v>
      </c>
      <c r="F632" s="1">
        <v>-97.354622813890416</v>
      </c>
      <c r="G632" s="4" t="str">
        <f>HYPERLINK(CONCATENATE("https://ee-faluhong.projects.earthengine.app/view/isp-ts-evaluation#id=631 2014-&gt;2015;lat=32.6656509024896;lon=-97.35462281389042;year=2014;bf=7;level=18;"), "landsat_time_series")</f>
        <v>landsat_time_series</v>
      </c>
      <c r="H632" s="4" t="str">
        <f>HYPERLINK(CONCATENATE("https://jstnbraaten.users.earthengine.app/view/landsat-timeseries-explorer#run=true;lon=-97.35462281389042;lat=32.6656509024896;from=01-01;to=12-31;index=NDVI;rgb=NIR%2FRED%2FGREEN;chipwidth=1;"), "landsat_chips")</f>
        <v>landsat_chips</v>
      </c>
      <c r="I632" s="4" t="str">
        <f>HYPERLINK(CONCATENATE("https://livingatlas.arcgis.com/wayback/#ext=-97.35562281389042,32.6666509024896,-97.35362281389041,32.664650902489605"), "wayback")</f>
        <v>wayback</v>
      </c>
      <c r="J632" s="9" t="s">
        <v>25</v>
      </c>
      <c r="L632" s="9" t="s">
        <v>15</v>
      </c>
    </row>
    <row r="633" spans="1:13">
      <c r="A633" s="1" t="s">
        <v>117</v>
      </c>
      <c r="B633" s="1">
        <v>632</v>
      </c>
      <c r="C633" s="1">
        <v>2009</v>
      </c>
      <c r="D633" s="1">
        <v>2010</v>
      </c>
      <c r="E633" s="1">
        <v>40.525598788966647</v>
      </c>
      <c r="F633" s="1">
        <v>-111.9774479508269</v>
      </c>
      <c r="G633" s="4" t="str">
        <f>HYPERLINK(CONCATENATE("https://ee-faluhong.projects.earthengine.app/view/isp-ts-evaluation#id=632 2009-&gt;2010;lat=40.52559878896665;lon=-111.9774479508269;year=2009;bf=7;level=18;"), "landsat_time_series")</f>
        <v>landsat_time_series</v>
      </c>
      <c r="H633" s="4" t="str">
        <f>HYPERLINK(CONCATENATE("https://jstnbraaten.users.earthengine.app/view/landsat-timeseries-explorer#run=true;lon=-111.9774479508269;lat=40.52559878896665;from=01-01;to=12-31;index=NDVI;rgb=NIR%2FRED%2FGREEN;chipwidth=1;"), "landsat_chips")</f>
        <v>landsat_chips</v>
      </c>
      <c r="I633" s="4" t="str">
        <f>HYPERLINK(CONCATENATE("https://livingatlas.arcgis.com/wayback/#ext=-111.9784479508269,40.526598788966645,-111.9764479508269,40.52459878896665"), "wayback")</f>
        <v>wayback</v>
      </c>
      <c r="J633" s="9" t="s">
        <v>34</v>
      </c>
      <c r="L633" s="9" t="s">
        <v>31</v>
      </c>
      <c r="M633" s="9" t="s">
        <v>145</v>
      </c>
    </row>
    <row r="634" spans="1:13">
      <c r="A634" s="1" t="s">
        <v>117</v>
      </c>
      <c r="B634" s="1">
        <v>633</v>
      </c>
      <c r="C634" s="1">
        <v>2009</v>
      </c>
      <c r="D634" s="1">
        <v>2010</v>
      </c>
      <c r="E634" s="1">
        <v>34.856756122811923</v>
      </c>
      <c r="F634" s="1">
        <v>-82.37249777316697</v>
      </c>
      <c r="G634" s="4" t="str">
        <f>HYPERLINK(CONCATENATE("https://ee-faluhong.projects.earthengine.app/view/isp-ts-evaluation#id=633 2009-&gt;2010;lat=34.85675612281192;lon=-82.37249777316697;year=2009;bf=7;level=18;"), "landsat_time_series")</f>
        <v>landsat_time_series</v>
      </c>
      <c r="H634" s="4" t="str">
        <f>HYPERLINK(CONCATENATE("https://jstnbraaten.users.earthengine.app/view/landsat-timeseries-explorer#run=true;lon=-82.37249777316697;lat=34.85675612281192;from=01-01;to=12-31;index=NDVI;rgb=NIR%2FRED%2FGREEN;chipwidth=1;"), "landsat_chips")</f>
        <v>landsat_chips</v>
      </c>
      <c r="I634" s="4" t="str">
        <f>HYPERLINK(CONCATENATE("https://livingatlas.arcgis.com/wayback/#ext=-82.37349777316697,34.85775612281192,-82.37149777316696,34.855756122811925"), "wayback")</f>
        <v>wayback</v>
      </c>
      <c r="J634" s="9" t="s">
        <v>17</v>
      </c>
      <c r="L634" s="9" t="s">
        <v>15</v>
      </c>
    </row>
    <row r="635" spans="1:13">
      <c r="A635" s="1" t="s">
        <v>117</v>
      </c>
      <c r="B635" s="1">
        <v>634</v>
      </c>
      <c r="C635" s="1">
        <v>2010</v>
      </c>
      <c r="D635" s="1">
        <v>2011</v>
      </c>
      <c r="E635" s="1">
        <v>39.924572204582972</v>
      </c>
      <c r="F635" s="1">
        <v>-111.5503032714447</v>
      </c>
      <c r="G635" s="4" t="str">
        <f>HYPERLINK(CONCATENATE("https://ee-faluhong.projects.earthengine.app/view/isp-ts-evaluation#id=634 2010-&gt;2011;lat=39.92457220458297;lon=-111.5503032714447;year=2010;bf=7;level=18;"), "landsat_time_series")</f>
        <v>landsat_time_series</v>
      </c>
      <c r="H635" s="4" t="str">
        <f>HYPERLINK(CONCATENATE("https://jstnbraaten.users.earthengine.app/view/landsat-timeseries-explorer#run=true;lon=-111.5503032714447;lat=39.92457220458297;from=01-01;to=12-31;index=NDVI;rgb=NIR%2FRED%2FGREEN;chipwidth=1;"), "landsat_chips")</f>
        <v>landsat_chips</v>
      </c>
      <c r="I635" s="4" t="str">
        <f>HYPERLINK(CONCATENATE("https://livingatlas.arcgis.com/wayback/#ext=-111.55130327144471,39.92557220458297,-111.5493032714447,39.923572204582975"), "wayback")</f>
        <v>wayback</v>
      </c>
      <c r="J635" s="9" t="s">
        <v>44</v>
      </c>
      <c r="L635" s="9" t="s">
        <v>24</v>
      </c>
    </row>
    <row r="636" spans="1:13">
      <c r="A636" s="1" t="s">
        <v>117</v>
      </c>
      <c r="B636" s="1">
        <v>635</v>
      </c>
      <c r="C636" s="1">
        <v>2007</v>
      </c>
      <c r="D636" s="1">
        <v>2008</v>
      </c>
      <c r="E636" s="1">
        <v>43.430933519491937</v>
      </c>
      <c r="F636" s="1">
        <v>-84.162409671600187</v>
      </c>
      <c r="G636" s="4" t="str">
        <f>HYPERLINK(CONCATENATE("https://ee-faluhong.projects.earthengine.app/view/isp-ts-evaluation#id=635 2007-&gt;2008;lat=43.43093351949194;lon=-84.16240967160019;year=2007;bf=7;level=18;"), "landsat_time_series")</f>
        <v>landsat_time_series</v>
      </c>
      <c r="H636" s="4" t="str">
        <f>HYPERLINK(CONCATENATE("https://jstnbraaten.users.earthengine.app/view/landsat-timeseries-explorer#run=true;lon=-84.16240967160019;lat=43.43093351949194;from=01-01;to=12-31;index=NDVI;rgb=NIR%2FRED%2FGREEN;chipwidth=1;"), "landsat_chips")</f>
        <v>landsat_chips</v>
      </c>
      <c r="I636" s="4" t="str">
        <f>HYPERLINK(CONCATENATE("https://livingatlas.arcgis.com/wayback/#ext=-84.16340967160019,43.431933519491935,-84.16140967160018,43.42993351949194"), "wayback")</f>
        <v>wayback</v>
      </c>
      <c r="J636" s="9" t="s">
        <v>21</v>
      </c>
      <c r="L636" s="9" t="s">
        <v>24</v>
      </c>
      <c r="M636" s="9" t="s">
        <v>146</v>
      </c>
    </row>
    <row r="637" spans="1:13">
      <c r="A637" s="1" t="s">
        <v>117</v>
      </c>
      <c r="B637" s="1">
        <v>636</v>
      </c>
      <c r="C637" s="1">
        <v>2004</v>
      </c>
      <c r="D637" s="1">
        <v>2005</v>
      </c>
      <c r="E637" s="1">
        <v>33.070093089434451</v>
      </c>
      <c r="F637" s="1">
        <v>-97.258406344421928</v>
      </c>
      <c r="G637" s="4" t="str">
        <f>HYPERLINK(CONCATENATE("https://ee-faluhong.projects.earthengine.app/view/isp-ts-evaluation#id=636 2004-&gt;2005;lat=33.07009308943445;lon=-97.25840634442193;year=2004;bf=7;level=18;"), "landsat_time_series")</f>
        <v>landsat_time_series</v>
      </c>
      <c r="H637" s="4" t="str">
        <f>HYPERLINK(CONCATENATE("https://jstnbraaten.users.earthengine.app/view/landsat-timeseries-explorer#run=true;lon=-97.25840634442193;lat=33.07009308943445;from=01-01;to=12-31;index=NDVI;rgb=NIR%2FRED%2FGREEN;chipwidth=1;"), "landsat_chips")</f>
        <v>landsat_chips</v>
      </c>
      <c r="I637" s="4" t="str">
        <f>HYPERLINK(CONCATENATE("https://livingatlas.arcgis.com/wayback/#ext=-97.25940634442193,33.07109308943445,-97.25740634442192,33.06909308943445"), "wayback")</f>
        <v>wayback</v>
      </c>
      <c r="J637" s="9" t="s">
        <v>14</v>
      </c>
      <c r="L637" s="9" t="s">
        <v>15</v>
      </c>
    </row>
    <row r="638" spans="1:13">
      <c r="A638" s="1" t="s">
        <v>117</v>
      </c>
      <c r="B638" s="1">
        <v>637</v>
      </c>
      <c r="C638" s="1">
        <v>2003</v>
      </c>
      <c r="D638" s="1">
        <v>2004</v>
      </c>
      <c r="E638" s="1">
        <v>29.417939426894641</v>
      </c>
      <c r="F638" s="1">
        <v>-100.6866375549664</v>
      </c>
      <c r="G638" s="4" t="str">
        <f>HYPERLINK(CONCATENATE("https://ee-faluhong.projects.earthengine.app/view/isp-ts-evaluation#id=637 2003-&gt;2004;lat=29.41793942689464;lon=-100.6866375549664;year=2003;bf=7;level=18;"), "landsat_time_series")</f>
        <v>landsat_time_series</v>
      </c>
      <c r="H638" s="4" t="str">
        <f>HYPERLINK(CONCATENATE("https://jstnbraaten.users.earthengine.app/view/landsat-timeseries-explorer#run=true;lon=-100.6866375549664;lat=29.41793942689464;from=01-01;to=12-31;index=NDVI;rgb=NIR%2FRED%2FGREEN;chipwidth=1;"), "landsat_chips")</f>
        <v>landsat_chips</v>
      </c>
      <c r="I638" s="4" t="str">
        <f>HYPERLINK(CONCATENATE("https://livingatlas.arcgis.com/wayback/#ext=-100.6876375549664,29.418939426894642,-100.68563755496639,29.41693942689464"), "wayback")</f>
        <v>wayback</v>
      </c>
      <c r="J638" s="9" t="s">
        <v>19</v>
      </c>
      <c r="L638" s="9" t="s">
        <v>15</v>
      </c>
    </row>
    <row r="639" spans="1:13">
      <c r="A639" s="1" t="s">
        <v>117</v>
      </c>
      <c r="B639" s="1">
        <v>638</v>
      </c>
      <c r="C639" s="1">
        <v>2015</v>
      </c>
      <c r="D639" s="1">
        <v>2016</v>
      </c>
      <c r="E639" s="1">
        <v>34.949250104767088</v>
      </c>
      <c r="F639" s="1">
        <v>-119.8287556440408</v>
      </c>
      <c r="G639" s="4" t="str">
        <f>HYPERLINK(CONCATENATE("https://ee-faluhong.projects.earthengine.app/view/isp-ts-evaluation#id=638 2015-&gt;2016;lat=34.94925010476709;lon=-119.8287556440408;year=2015;bf=7;level=18;"), "landsat_time_series")</f>
        <v>landsat_time_series</v>
      </c>
      <c r="H639" s="4" t="str">
        <f>HYPERLINK(CONCATENATE("https://jstnbraaten.users.earthengine.app/view/landsat-timeseries-explorer#run=true;lon=-119.8287556440408;lat=34.94925010476709;from=01-01;to=12-31;index=NDVI;rgb=NIR%2FRED%2FGREEN;chipwidth=1;"), "landsat_chips")</f>
        <v>landsat_chips</v>
      </c>
      <c r="I639" s="4" t="str">
        <f>HYPERLINK(CONCATENATE("https://livingatlas.arcgis.com/wayback/#ext=-119.8297556440408,34.950250104767086,-119.82775564404079,34.94825010476709"), "wayback")</f>
        <v>wayback</v>
      </c>
      <c r="J639" s="9" t="s">
        <v>17</v>
      </c>
      <c r="L639" s="9" t="s">
        <v>24</v>
      </c>
    </row>
    <row r="640" spans="1:13">
      <c r="A640" s="1" t="s">
        <v>117</v>
      </c>
      <c r="B640" s="1">
        <v>639</v>
      </c>
      <c r="C640" s="1">
        <v>2016</v>
      </c>
      <c r="D640" s="1">
        <v>2017</v>
      </c>
      <c r="E640" s="1">
        <v>38.785306473686191</v>
      </c>
      <c r="F640" s="1">
        <v>-86.195630494413507</v>
      </c>
      <c r="G640" s="4" t="str">
        <f>HYPERLINK(CONCATENATE("https://ee-faluhong.projects.earthengine.app/view/isp-ts-evaluation#id=639 2016-&gt;2017;lat=38.78530647368619;lon=-86.1956304944135;year=2016;bf=7;level=18;"), "landsat_time_series")</f>
        <v>landsat_time_series</v>
      </c>
      <c r="H640" s="4" t="str">
        <f>HYPERLINK(CONCATENATE("https://jstnbraaten.users.earthengine.app/view/landsat-timeseries-explorer#run=true;lon=-86.1956304944135;lat=38.78530647368619;from=01-01;to=12-31;index=NDVI;rgb=NIR%2FRED%2FGREEN;chipwidth=1;"), "landsat_chips")</f>
        <v>landsat_chips</v>
      </c>
      <c r="I640" s="4" t="str">
        <f>HYPERLINK(CONCATENATE("https://livingatlas.arcgis.com/wayback/#ext=-86.19663049441351,38.78630647368619,-86.1946304944135,38.78430647368619"), "wayback")</f>
        <v>wayback</v>
      </c>
      <c r="J640" s="9" t="s">
        <v>19</v>
      </c>
      <c r="L640" s="9" t="s">
        <v>15</v>
      </c>
    </row>
    <row r="641" spans="1:13">
      <c r="A641" s="1" t="s">
        <v>117</v>
      </c>
      <c r="B641" s="1">
        <v>640</v>
      </c>
      <c r="C641" s="1">
        <v>2010</v>
      </c>
      <c r="D641" s="1">
        <v>2011</v>
      </c>
      <c r="E641" s="1">
        <v>35.507045511175988</v>
      </c>
      <c r="F641" s="1">
        <v>-80.429326297242397</v>
      </c>
      <c r="G641" s="4" t="str">
        <f>HYPERLINK(CONCATENATE("https://ee-faluhong.projects.earthengine.app/view/isp-ts-evaluation#id=640 2010-&gt;2011;lat=35.50704551117599;lon=-80.4293262972424;year=2010;bf=7;level=18;"), "landsat_time_series")</f>
        <v>landsat_time_series</v>
      </c>
      <c r="H641" s="4" t="str">
        <f>HYPERLINK(CONCATENATE("https://jstnbraaten.users.earthengine.app/view/landsat-timeseries-explorer#run=true;lon=-80.4293262972424;lat=35.50704551117599;from=01-01;to=12-31;index=NDVI;rgb=NIR%2FRED%2FGREEN;chipwidth=1;"), "landsat_chips")</f>
        <v>landsat_chips</v>
      </c>
      <c r="I641" s="4" t="str">
        <f>HYPERLINK(CONCATENATE("https://livingatlas.arcgis.com/wayback/#ext=-80.4303262972424,35.508045511175986,-80.42832629724239,35.50604551117599"), "wayback")</f>
        <v>wayback</v>
      </c>
      <c r="J641" s="9" t="s">
        <v>17</v>
      </c>
      <c r="L641" s="9" t="s">
        <v>31</v>
      </c>
    </row>
    <row r="642" spans="1:13">
      <c r="A642" s="1" t="s">
        <v>117</v>
      </c>
      <c r="B642" s="1">
        <v>641</v>
      </c>
      <c r="C642" s="1">
        <v>2004</v>
      </c>
      <c r="D642" s="1">
        <v>2005</v>
      </c>
      <c r="E642" s="1">
        <v>38.436649100438238</v>
      </c>
      <c r="F642" s="1">
        <v>-121.22714427900171</v>
      </c>
      <c r="G642" s="4" t="str">
        <f>HYPERLINK(CONCATENATE("https://ee-faluhong.projects.earthengine.app/view/isp-ts-evaluation#id=641 2004-&gt;2005;lat=38.43664910043824;lon=-121.2271442790017;year=2004;bf=7;level=18;"), "landsat_time_series")</f>
        <v>landsat_time_series</v>
      </c>
      <c r="H642" s="4" t="str">
        <f>HYPERLINK(CONCATENATE("https://jstnbraaten.users.earthengine.app/view/landsat-timeseries-explorer#run=true;lon=-121.2271442790017;lat=38.43664910043824;from=01-01;to=12-31;index=NDVI;rgb=NIR%2FRED%2FGREEN;chipwidth=1;"), "landsat_chips")</f>
        <v>landsat_chips</v>
      </c>
      <c r="I642" s="4" t="str">
        <f>HYPERLINK(CONCATENATE("https://livingatlas.arcgis.com/wayback/#ext=-121.22814427900171,38.437649100438236,-121.2261442790017,38.43564910043824"), "wayback")</f>
        <v>wayback</v>
      </c>
      <c r="J642" s="9" t="s">
        <v>21</v>
      </c>
      <c r="L642" s="9" t="s">
        <v>24</v>
      </c>
      <c r="M642" s="9" t="s">
        <v>146</v>
      </c>
    </row>
    <row r="643" spans="1:13">
      <c r="A643" s="1" t="s">
        <v>117</v>
      </c>
      <c r="B643" s="1">
        <v>642</v>
      </c>
      <c r="C643" s="1">
        <v>2019</v>
      </c>
      <c r="D643" s="1">
        <v>2020</v>
      </c>
      <c r="E643" s="1">
        <v>39.663837304249881</v>
      </c>
      <c r="F643" s="1">
        <v>-91.37144006573314</v>
      </c>
      <c r="G643" s="4" t="str">
        <f>HYPERLINK(CONCATENATE("https://ee-faluhong.projects.earthengine.app/view/isp-ts-evaluation#id=642 2019-&gt;2020;lat=39.66383730424988;lon=-91.37144006573314;year=2019;bf=7;level=18;"), "landsat_time_series")</f>
        <v>landsat_time_series</v>
      </c>
      <c r="H643" s="4" t="str">
        <f>HYPERLINK(CONCATENATE("https://jstnbraaten.users.earthengine.app/view/landsat-timeseries-explorer#run=true;lon=-91.37144006573314;lat=39.66383730424988;from=01-01;to=12-31;index=NDVI;rgb=NIR%2FRED%2FGREEN;chipwidth=1;"), "landsat_chips")</f>
        <v>landsat_chips</v>
      </c>
      <c r="I643" s="4" t="str">
        <f>HYPERLINK(CONCATENATE("https://livingatlas.arcgis.com/wayback/#ext=-91.37244006573314,39.66483730424988,-91.37044006573313,39.662837304249884"), "wayback")</f>
        <v>wayback</v>
      </c>
      <c r="J643" s="9" t="s">
        <v>17</v>
      </c>
      <c r="L643" s="9" t="s">
        <v>15</v>
      </c>
    </row>
    <row r="644" spans="1:13">
      <c r="A644" s="1" t="s">
        <v>117</v>
      </c>
      <c r="B644" s="1">
        <v>643</v>
      </c>
      <c r="C644" s="1">
        <v>2004</v>
      </c>
      <c r="D644" s="1">
        <v>2005</v>
      </c>
      <c r="E644" s="1">
        <v>48.107839200335277</v>
      </c>
      <c r="F644" s="1">
        <v>-108.79422062455249</v>
      </c>
      <c r="G644" s="4" t="str">
        <f>HYPERLINK(CONCATENATE("https://ee-faluhong.projects.earthengine.app/view/isp-ts-evaluation#id=643 2004-&gt;2005;lat=48.10783920033528;lon=-108.7942206245525;year=2004;bf=7;level=18;"), "landsat_time_series")</f>
        <v>landsat_time_series</v>
      </c>
      <c r="H644" s="4" t="str">
        <f>HYPERLINK(CONCATENATE("https://jstnbraaten.users.earthengine.app/view/landsat-timeseries-explorer#run=true;lon=-108.7942206245525;lat=48.10783920033528;from=01-01;to=12-31;index=NDVI;rgb=NIR%2FRED%2FGREEN;chipwidth=1;"), "landsat_chips")</f>
        <v>landsat_chips</v>
      </c>
      <c r="I644" s="4" t="str">
        <f>HYPERLINK(CONCATENATE("https://livingatlas.arcgis.com/wayback/#ext=-108.7952206245525,48.108839200335275,-108.79322062455249,48.10683920033528"), "wayback")</f>
        <v>wayback</v>
      </c>
      <c r="J644" s="9" t="s">
        <v>19</v>
      </c>
      <c r="L644" s="9" t="s">
        <v>15</v>
      </c>
    </row>
    <row r="645" spans="1:13">
      <c r="A645" s="1" t="s">
        <v>117</v>
      </c>
      <c r="B645" s="1">
        <v>644</v>
      </c>
      <c r="C645" s="1">
        <v>2009</v>
      </c>
      <c r="D645" s="1">
        <v>2010</v>
      </c>
      <c r="E645" s="1">
        <v>42.977169847213993</v>
      </c>
      <c r="F645" s="1">
        <v>-102.863858583092</v>
      </c>
      <c r="G645" s="4" t="str">
        <f>HYPERLINK(CONCATENATE("https://ee-faluhong.projects.earthengine.app/view/isp-ts-evaluation#id=644 2009-&gt;2010;lat=42.97716984721399;lon=-102.863858583092;year=2009;bf=7;level=18;"), "landsat_time_series")</f>
        <v>landsat_time_series</v>
      </c>
      <c r="H645" s="4" t="str">
        <f>HYPERLINK(CONCATENATE("https://jstnbraaten.users.earthengine.app/view/landsat-timeseries-explorer#run=true;lon=-102.863858583092;lat=42.97716984721399;from=01-01;to=12-31;index=NDVI;rgb=NIR%2FRED%2FGREEN;chipwidth=1;"), "landsat_chips")</f>
        <v>landsat_chips</v>
      </c>
      <c r="I645" s="4" t="str">
        <f>HYPERLINK(CONCATENATE("https://livingatlas.arcgis.com/wayback/#ext=-102.864858583092,42.97816984721399,-102.86285858309199,42.976169847213995"), "wayback")</f>
        <v>wayback</v>
      </c>
      <c r="J645" s="9" t="s">
        <v>19</v>
      </c>
      <c r="L645" s="9" t="s">
        <v>15</v>
      </c>
    </row>
    <row r="646" spans="1:13">
      <c r="A646" s="1" t="s">
        <v>117</v>
      </c>
      <c r="B646" s="1">
        <v>645</v>
      </c>
      <c r="C646" s="1">
        <v>2010</v>
      </c>
      <c r="D646" s="1">
        <v>2011</v>
      </c>
      <c r="E646" s="1">
        <v>34.359155866468832</v>
      </c>
      <c r="F646" s="1">
        <v>-99.737182930970789</v>
      </c>
      <c r="G646" s="4" t="str">
        <f>HYPERLINK(CONCATENATE("https://ee-faluhong.projects.earthengine.app/view/isp-ts-evaluation#id=645 2010-&gt;2011;lat=34.35915586646883;lon=-99.73718293097079;year=2010;bf=7;level=18;"), "landsat_time_series")</f>
        <v>landsat_time_series</v>
      </c>
      <c r="H646" s="4" t="str">
        <f>HYPERLINK(CONCATENATE("https://jstnbraaten.users.earthengine.app/view/landsat-timeseries-explorer#run=true;lon=-99.73718293097079;lat=34.35915586646883;from=01-01;to=12-31;index=NDVI;rgb=NIR%2FRED%2FGREEN;chipwidth=1;"), "landsat_chips")</f>
        <v>landsat_chips</v>
      </c>
      <c r="I646" s="4" t="str">
        <f>HYPERLINK(CONCATENATE("https://livingatlas.arcgis.com/wayback/#ext=-99.7381829309708,34.36015586646883,-99.73618293097078,34.358155866468834"), "wayback")</f>
        <v>wayback</v>
      </c>
      <c r="J646" s="9" t="s">
        <v>21</v>
      </c>
      <c r="L646" s="9" t="s">
        <v>31</v>
      </c>
      <c r="M646" s="9" t="s">
        <v>146</v>
      </c>
    </row>
    <row r="647" spans="1:13">
      <c r="A647" s="1" t="s">
        <v>117</v>
      </c>
      <c r="B647" s="1">
        <v>646</v>
      </c>
      <c r="C647" s="1">
        <v>2007</v>
      </c>
      <c r="D647" s="1">
        <v>2008</v>
      </c>
      <c r="E647" s="1">
        <v>33.266568825454257</v>
      </c>
      <c r="F647" s="1">
        <v>-111.8894454763314</v>
      </c>
      <c r="G647" s="4" t="str">
        <f>HYPERLINK(CONCATENATE("https://ee-faluhong.projects.earthengine.app/view/isp-ts-evaluation#id=646 2007-&gt;2008;lat=33.26656882545426;lon=-111.8894454763314;year=2007;bf=7;level=18;"), "landsat_time_series")</f>
        <v>landsat_time_series</v>
      </c>
      <c r="H647" s="4" t="str">
        <f>HYPERLINK(CONCATENATE("https://jstnbraaten.users.earthengine.app/view/landsat-timeseries-explorer#run=true;lon=-111.8894454763314;lat=33.26656882545426;from=01-01;to=12-31;index=NDVI;rgb=NIR%2FRED%2FGREEN;chipwidth=1;"), "landsat_chips")</f>
        <v>landsat_chips</v>
      </c>
      <c r="I647" s="4" t="str">
        <f>HYPERLINK(CONCATENATE("https://livingatlas.arcgis.com/wayback/#ext=-111.89044547633141,33.267568825454255,-111.8884454763314,33.26556882545426"), "wayback")</f>
        <v>wayback</v>
      </c>
      <c r="J647" s="9" t="s">
        <v>25</v>
      </c>
      <c r="K647" s="9" t="s">
        <v>26</v>
      </c>
      <c r="L647" s="9" t="s">
        <v>15</v>
      </c>
      <c r="M647" s="9" t="s">
        <v>119</v>
      </c>
    </row>
    <row r="648" spans="1:13">
      <c r="A648" s="1" t="s">
        <v>117</v>
      </c>
      <c r="B648" s="1">
        <v>647</v>
      </c>
      <c r="C648" s="1">
        <v>2006</v>
      </c>
      <c r="D648" s="1">
        <v>2007</v>
      </c>
      <c r="E648" s="1">
        <v>41.916515179911073</v>
      </c>
      <c r="F648" s="1">
        <v>-72.712318262181356</v>
      </c>
      <c r="G648" s="4" t="str">
        <f>HYPERLINK(CONCATENATE("https://ee-faluhong.projects.earthengine.app/view/isp-ts-evaluation#id=647 2006-&gt;2007;lat=41.91651517991107;lon=-72.71231826218136;year=2006;bf=7;level=18;"), "landsat_time_series")</f>
        <v>landsat_time_series</v>
      </c>
      <c r="H648" s="4" t="str">
        <f>HYPERLINK(CONCATENATE("https://jstnbraaten.users.earthengine.app/view/landsat-timeseries-explorer#run=true;lon=-72.71231826218136;lat=41.91651517991107;from=01-01;to=12-31;index=NDVI;rgb=NIR%2FRED%2FGREEN;chipwidth=1;"), "landsat_chips")</f>
        <v>landsat_chips</v>
      </c>
      <c r="I648" s="4" t="str">
        <f>HYPERLINK(CONCATENATE("https://livingatlas.arcgis.com/wayback/#ext=-72.71331826218136,41.91751517991107,-72.71131826218135,41.915515179911075"), "wayback")</f>
        <v>wayback</v>
      </c>
      <c r="J648" s="9" t="s">
        <v>14</v>
      </c>
      <c r="L648" s="9" t="s">
        <v>15</v>
      </c>
    </row>
    <row r="649" spans="1:13">
      <c r="A649" s="1" t="s">
        <v>117</v>
      </c>
      <c r="B649" s="1">
        <v>648</v>
      </c>
      <c r="C649" s="1">
        <v>2000</v>
      </c>
      <c r="D649" s="1">
        <v>2001</v>
      </c>
      <c r="E649" s="1">
        <v>32.843232455716951</v>
      </c>
      <c r="F649" s="1">
        <v>-81.939014142248169</v>
      </c>
      <c r="G649" s="4" t="str">
        <f>HYPERLINK(CONCATENATE("https://ee-faluhong.projects.earthengine.app/view/isp-ts-evaluation#id=648 2000-&gt;2001;lat=32.84323245571695;lon=-81.93901414224817;year=2000;bf=7;level=18;"), "landsat_time_series")</f>
        <v>landsat_time_series</v>
      </c>
      <c r="H649" s="4" t="str">
        <f>HYPERLINK(CONCATENATE("https://jstnbraaten.users.earthengine.app/view/landsat-timeseries-explorer#run=true;lon=-81.93901414224817;lat=32.84323245571695;from=01-01;to=12-31;index=NDVI;rgb=NIR%2FRED%2FGREEN;chipwidth=1;"), "landsat_chips")</f>
        <v>landsat_chips</v>
      </c>
      <c r="I649" s="4" t="str">
        <f>HYPERLINK(CONCATENATE("https://livingatlas.arcgis.com/wayback/#ext=-81.94001414224817,32.84423245571695,-81.93801414224816,32.84223245571695"), "wayback")</f>
        <v>wayback</v>
      </c>
      <c r="J649" s="9" t="s">
        <v>25</v>
      </c>
      <c r="L649" s="9" t="s">
        <v>24</v>
      </c>
      <c r="M649" s="9" t="s">
        <v>141</v>
      </c>
    </row>
    <row r="650" spans="1:13">
      <c r="A650" s="1" t="s">
        <v>117</v>
      </c>
      <c r="B650" s="1">
        <v>649</v>
      </c>
      <c r="C650" s="1">
        <v>2010</v>
      </c>
      <c r="D650" s="1">
        <v>2011</v>
      </c>
      <c r="E650" s="1">
        <v>38.31267046932647</v>
      </c>
      <c r="F650" s="1">
        <v>-77.779652799263744</v>
      </c>
      <c r="G650" s="4" t="str">
        <f>HYPERLINK(CONCATENATE("https://ee-faluhong.projects.earthengine.app/view/isp-ts-evaluation#id=649 2010-&gt;2011;lat=38.31267046932647;lon=-77.77965279926374;year=2010;bf=7;level=18;"), "landsat_time_series")</f>
        <v>landsat_time_series</v>
      </c>
      <c r="H650" s="4" t="str">
        <f>HYPERLINK(CONCATENATE("https://jstnbraaten.users.earthengine.app/view/landsat-timeseries-explorer#run=true;lon=-77.77965279926374;lat=38.31267046932647;from=01-01;to=12-31;index=NDVI;rgb=NIR%2FRED%2FGREEN;chipwidth=1;"), "landsat_chips")</f>
        <v>landsat_chips</v>
      </c>
      <c r="I650" s="4" t="str">
        <f>HYPERLINK(CONCATENATE("https://livingatlas.arcgis.com/wayback/#ext=-77.78065279926375,38.31367046932647,-77.77865279926374,38.31167046932647"), "wayback")</f>
        <v>wayback</v>
      </c>
      <c r="J650" s="9" t="s">
        <v>14</v>
      </c>
      <c r="L650" s="9" t="s">
        <v>24</v>
      </c>
    </row>
    <row r="651" spans="1:13">
      <c r="A651" s="1" t="s">
        <v>117</v>
      </c>
      <c r="B651" s="1">
        <v>650</v>
      </c>
      <c r="C651" s="1">
        <v>2018</v>
      </c>
      <c r="D651" s="1">
        <v>2019</v>
      </c>
      <c r="E651" s="1">
        <v>30.065687824951549</v>
      </c>
      <c r="F651" s="1">
        <v>-95.446449099508499</v>
      </c>
      <c r="G651" s="4" t="str">
        <f>HYPERLINK(CONCATENATE("https://ee-faluhong.projects.earthengine.app/view/isp-ts-evaluation#id=650 2018-&gt;2019;lat=30.06568782495155;lon=-95.4464490995085;year=2018;bf=7;level=18;"), "landsat_time_series")</f>
        <v>landsat_time_series</v>
      </c>
      <c r="H651" s="4" t="str">
        <f>HYPERLINK(CONCATENATE("https://jstnbraaten.users.earthengine.app/view/landsat-timeseries-explorer#run=true;lon=-95.4464490995085;lat=30.06568782495155;from=01-01;to=12-31;index=NDVI;rgb=NIR%2FRED%2FGREEN;chipwidth=1;"), "landsat_chips")</f>
        <v>landsat_chips</v>
      </c>
      <c r="I651" s="4" t="str">
        <f>HYPERLINK(CONCATENATE("https://livingatlas.arcgis.com/wayback/#ext=-95.4474490995085,30.06668782495155,-95.4454490995085,30.064687824951548"), "wayback")</f>
        <v>wayback</v>
      </c>
      <c r="J651" s="9" t="s">
        <v>21</v>
      </c>
      <c r="L651" s="9" t="s">
        <v>15</v>
      </c>
    </row>
    <row r="652" spans="1:13">
      <c r="A652" s="1" t="s">
        <v>117</v>
      </c>
      <c r="B652" s="1">
        <v>651</v>
      </c>
      <c r="C652" s="1">
        <v>2005</v>
      </c>
      <c r="D652" s="1">
        <v>2006</v>
      </c>
      <c r="E652" s="1">
        <v>31.984470858372411</v>
      </c>
      <c r="F652" s="1">
        <v>-97.108990370151929</v>
      </c>
      <c r="G652" s="4" t="str">
        <f>HYPERLINK(CONCATENATE("https://ee-faluhong.projects.earthengine.app/view/isp-ts-evaluation#id=651 2005-&gt;2006;lat=31.98447085837241;lon=-97.10899037015193;year=2005;bf=7;level=18;"), "landsat_time_series")</f>
        <v>landsat_time_series</v>
      </c>
      <c r="H652" s="4" t="str">
        <f>HYPERLINK(CONCATENATE("https://jstnbraaten.users.earthengine.app/view/landsat-timeseries-explorer#run=true;lon=-97.10899037015193;lat=31.98447085837241;from=01-01;to=12-31;index=NDVI;rgb=NIR%2FRED%2FGREEN;chipwidth=1;"), "landsat_chips")</f>
        <v>landsat_chips</v>
      </c>
      <c r="I652" s="4" t="str">
        <f>HYPERLINK(CONCATENATE("https://livingatlas.arcgis.com/wayback/#ext=-97.10999037015193,31.985470858372413,-97.10799037015192,31.98347085837241"), "wayback")</f>
        <v>wayback</v>
      </c>
      <c r="J652" s="9" t="s">
        <v>34</v>
      </c>
      <c r="L652" s="9" t="s">
        <v>56</v>
      </c>
      <c r="M652" s="9" t="s">
        <v>147</v>
      </c>
    </row>
    <row r="653" spans="1:13">
      <c r="A653" s="1" t="s">
        <v>117</v>
      </c>
      <c r="B653" s="1">
        <v>652</v>
      </c>
      <c r="C653" s="1">
        <v>2004</v>
      </c>
      <c r="D653" s="1">
        <v>2005</v>
      </c>
      <c r="E653" s="1">
        <v>30.228401601438971</v>
      </c>
      <c r="F653" s="1">
        <v>-90.930593057413731</v>
      </c>
      <c r="G653" s="4" t="str">
        <f>HYPERLINK(CONCATENATE("https://ee-faluhong.projects.earthengine.app/view/isp-ts-evaluation#id=652 2004-&gt;2005;lat=30.22840160143897;lon=-90.93059305741373;year=2004;bf=7;level=18;"), "landsat_time_series")</f>
        <v>landsat_time_series</v>
      </c>
      <c r="H653" s="4" t="str">
        <f>HYPERLINK(CONCATENATE("https://jstnbraaten.users.earthengine.app/view/landsat-timeseries-explorer#run=true;lon=-90.93059305741373;lat=30.22840160143897;from=01-01;to=12-31;index=NDVI;rgb=NIR%2FRED%2FGREEN;chipwidth=1;"), "landsat_chips")</f>
        <v>landsat_chips</v>
      </c>
      <c r="I653" s="4" t="str">
        <f>HYPERLINK(CONCATENATE("https://livingatlas.arcgis.com/wayback/#ext=-90.93159305741374,30.229401601438973,-90.92959305741373,30.22740160143897"), "wayback")</f>
        <v>wayback</v>
      </c>
      <c r="J653" s="9" t="s">
        <v>14</v>
      </c>
      <c r="L653" s="9" t="s">
        <v>15</v>
      </c>
    </row>
    <row r="654" spans="1:13">
      <c r="A654" s="1" t="s">
        <v>117</v>
      </c>
      <c r="B654" s="1">
        <v>653</v>
      </c>
      <c r="C654" s="1">
        <v>2005</v>
      </c>
      <c r="D654" s="1">
        <v>2006</v>
      </c>
      <c r="E654" s="1">
        <v>33.800561012639093</v>
      </c>
      <c r="F654" s="1">
        <v>-117.8935243360562</v>
      </c>
      <c r="G654" s="4" t="str">
        <f>HYPERLINK(CONCATENATE("https://ee-faluhong.projects.earthengine.app/view/isp-ts-evaluation#id=653 2005-&gt;2006;lat=33.80056101263909;lon=-117.8935243360562;year=2005;bf=7;level=18;"), "landsat_time_series")</f>
        <v>landsat_time_series</v>
      </c>
      <c r="H654" s="4" t="str">
        <f>HYPERLINK(CONCATENATE("https://jstnbraaten.users.earthengine.app/view/landsat-timeseries-explorer#run=true;lon=-117.8935243360562;lat=33.80056101263909;from=01-01;to=12-31;index=NDVI;rgb=NIR%2FRED%2FGREEN;chipwidth=1;"), "landsat_chips")</f>
        <v>landsat_chips</v>
      </c>
      <c r="I654" s="4" t="str">
        <f>HYPERLINK(CONCATENATE("https://livingatlas.arcgis.com/wayback/#ext=-117.89452433605621,33.80156101263909,-117.8925243360562,33.799561012639096"), "wayback")</f>
        <v>wayback</v>
      </c>
      <c r="J654" s="9" t="s">
        <v>25</v>
      </c>
      <c r="K654" s="9" t="s">
        <v>26</v>
      </c>
      <c r="L654" s="9" t="s">
        <v>15</v>
      </c>
      <c r="M654" s="9" t="s">
        <v>129</v>
      </c>
    </row>
    <row r="655" spans="1:13">
      <c r="A655" s="1" t="s">
        <v>117</v>
      </c>
      <c r="B655" s="1">
        <v>654</v>
      </c>
      <c r="C655" s="1">
        <v>2000</v>
      </c>
      <c r="D655" s="1">
        <v>2001</v>
      </c>
      <c r="E655" s="1">
        <v>34.982617473139477</v>
      </c>
      <c r="F655" s="1">
        <v>-80.67682994119248</v>
      </c>
      <c r="G655" s="4" t="str">
        <f>HYPERLINK(CONCATENATE("https://ee-faluhong.projects.earthengine.app/view/isp-ts-evaluation#id=654 2000-&gt;2001;lat=34.98261747313948;lon=-80.67682994119248;year=2000;bf=7;level=18;"), "landsat_time_series")</f>
        <v>landsat_time_series</v>
      </c>
      <c r="H655" s="4" t="str">
        <f>HYPERLINK(CONCATENATE("https://jstnbraaten.users.earthengine.app/view/landsat-timeseries-explorer#run=true;lon=-80.67682994119248;lat=34.98261747313948;from=01-01;to=12-31;index=NDVI;rgb=NIR%2FRED%2FGREEN;chipwidth=1;"), "landsat_chips")</f>
        <v>landsat_chips</v>
      </c>
      <c r="I655" s="4" t="str">
        <f>HYPERLINK(CONCATENATE("https://livingatlas.arcgis.com/wayback/#ext=-80.67782994119248,34.983617473139475,-80.67582994119248,34.98161747313948"), "wayback")</f>
        <v>wayback</v>
      </c>
      <c r="J655" s="9" t="s">
        <v>14</v>
      </c>
      <c r="L655" s="9" t="s">
        <v>15</v>
      </c>
    </row>
    <row r="656" spans="1:13">
      <c r="A656" s="1" t="s">
        <v>117</v>
      </c>
      <c r="B656" s="1">
        <v>655</v>
      </c>
      <c r="C656" s="1">
        <v>2008</v>
      </c>
      <c r="D656" s="1">
        <v>2009</v>
      </c>
      <c r="E656" s="1">
        <v>42.840235314552693</v>
      </c>
      <c r="F656" s="1">
        <v>-105.77896106882039</v>
      </c>
      <c r="G656" s="4" t="str">
        <f>HYPERLINK(CONCATENATE("https://ee-faluhong.projects.earthengine.app/view/isp-ts-evaluation#id=655 2008-&gt;2009;lat=42.84023531455269;lon=-105.7789610688204;year=2008;bf=7;level=18;"), "landsat_time_series")</f>
        <v>landsat_time_series</v>
      </c>
      <c r="H656" s="4" t="str">
        <f>HYPERLINK(CONCATENATE("https://jstnbraaten.users.earthengine.app/view/landsat-timeseries-explorer#run=true;lon=-105.7789610688204;lat=42.84023531455269;from=01-01;to=12-31;index=NDVI;rgb=NIR%2FRED%2FGREEN;chipwidth=1;"), "landsat_chips")</f>
        <v>landsat_chips</v>
      </c>
      <c r="I656" s="4" t="str">
        <f>HYPERLINK(CONCATENATE("https://livingatlas.arcgis.com/wayback/#ext=-105.7799610688204,42.84123531455269,-105.77796106882039,42.839235314552695"), "wayback")</f>
        <v>wayback</v>
      </c>
      <c r="J656" s="9" t="s">
        <v>14</v>
      </c>
      <c r="L656" s="9" t="s">
        <v>24</v>
      </c>
    </row>
    <row r="657" spans="1:13">
      <c r="A657" s="1" t="s">
        <v>117</v>
      </c>
      <c r="B657" s="1">
        <v>656</v>
      </c>
      <c r="C657" s="1">
        <v>2001</v>
      </c>
      <c r="D657" s="1">
        <v>2002</v>
      </c>
      <c r="E657" s="1">
        <v>44.419765189173681</v>
      </c>
      <c r="F657" s="1">
        <v>-73.180211597658143</v>
      </c>
      <c r="G657" s="4" t="str">
        <f>HYPERLINK(CONCATENATE("https://ee-faluhong.projects.earthengine.app/view/isp-ts-evaluation#id=656 2001-&gt;2002;lat=44.41976518917368;lon=-73.18021159765814;year=2001;bf=7;level=18;"), "landsat_time_series")</f>
        <v>landsat_time_series</v>
      </c>
      <c r="H657" s="4" t="str">
        <f>HYPERLINK(CONCATENATE("https://jstnbraaten.users.earthengine.app/view/landsat-timeseries-explorer#run=true;lon=-73.18021159765814;lat=44.41976518917368;from=01-01;to=12-31;index=NDVI;rgb=NIR%2FRED%2FGREEN;chipwidth=1;"), "landsat_chips")</f>
        <v>landsat_chips</v>
      </c>
      <c r="I657" s="4" t="str">
        <f>HYPERLINK(CONCATENATE("https://livingatlas.arcgis.com/wayback/#ext=-73.18121159765815,44.42076518917368,-73.17921159765814,44.41876518917368"), "wayback")</f>
        <v>wayback</v>
      </c>
      <c r="J657" s="9" t="s">
        <v>34</v>
      </c>
      <c r="L657" s="9" t="s">
        <v>31</v>
      </c>
      <c r="M657" s="9" t="s">
        <v>147</v>
      </c>
    </row>
    <row r="658" spans="1:13">
      <c r="A658" s="1" t="s">
        <v>117</v>
      </c>
      <c r="B658" s="1">
        <v>657</v>
      </c>
      <c r="C658" s="1">
        <v>2014</v>
      </c>
      <c r="D658" s="1">
        <v>2015</v>
      </c>
      <c r="E658" s="1">
        <v>33.009790761004503</v>
      </c>
      <c r="F658" s="1">
        <v>-82.017622164336856</v>
      </c>
      <c r="G658" s="4" t="str">
        <f>HYPERLINK(CONCATENATE("https://ee-faluhong.projects.earthengine.app/view/isp-ts-evaluation#id=657 2014-&gt;2015;lat=33.0097907610045;lon=-82.01762216433686;year=2014;bf=7;level=18;"), "landsat_time_series")</f>
        <v>landsat_time_series</v>
      </c>
      <c r="H658" s="4" t="str">
        <f>HYPERLINK(CONCATENATE("https://jstnbraaten.users.earthengine.app/view/landsat-timeseries-explorer#run=true;lon=-82.01762216433686;lat=33.0097907610045;from=01-01;to=12-31;index=NDVI;rgb=NIR%2FRED%2FGREEN;chipwidth=1;"), "landsat_chips")</f>
        <v>landsat_chips</v>
      </c>
      <c r="I658" s="4" t="str">
        <f>HYPERLINK(CONCATENATE("https://livingatlas.arcgis.com/wayback/#ext=-82.01862216433686,33.0107907610045,-82.01662216433685,33.008790761004505"), "wayback")</f>
        <v>wayback</v>
      </c>
      <c r="J658" s="9" t="s">
        <v>21</v>
      </c>
      <c r="L658" s="9" t="s">
        <v>24</v>
      </c>
      <c r="M658" s="9" t="s">
        <v>146</v>
      </c>
    </row>
    <row r="659" spans="1:13">
      <c r="A659" s="1" t="s">
        <v>117</v>
      </c>
      <c r="B659" s="1">
        <v>658</v>
      </c>
      <c r="C659" s="1">
        <v>2019</v>
      </c>
      <c r="D659" s="1">
        <v>2020</v>
      </c>
      <c r="E659" s="1">
        <v>43.58832193463067</v>
      </c>
      <c r="F659" s="1">
        <v>-116.3716638560868</v>
      </c>
      <c r="G659" s="4" t="str">
        <f>HYPERLINK(CONCATENATE("https://ee-faluhong.projects.earthengine.app/view/isp-ts-evaluation#id=658 2019-&gt;2020;lat=43.58832193463067;lon=-116.3716638560868;year=2019;bf=7;level=18;"), "landsat_time_series")</f>
        <v>landsat_time_series</v>
      </c>
      <c r="H659" s="4" t="str">
        <f>HYPERLINK(CONCATENATE("https://jstnbraaten.users.earthengine.app/view/landsat-timeseries-explorer#run=true;lon=-116.3716638560868;lat=43.58832193463067;from=01-01;to=12-31;index=NDVI;rgb=NIR%2FRED%2FGREEN;chipwidth=1;"), "landsat_chips")</f>
        <v>landsat_chips</v>
      </c>
      <c r="I659" s="4" t="str">
        <f>HYPERLINK(CONCATENATE("https://livingatlas.arcgis.com/wayback/#ext=-116.3726638560868,43.58932193463067,-116.3706638560868,43.58732193463067"), "wayback")</f>
        <v>wayback</v>
      </c>
      <c r="J659" s="9" t="s">
        <v>21</v>
      </c>
      <c r="L659" s="9" t="s">
        <v>15</v>
      </c>
    </row>
    <row r="660" spans="1:13">
      <c r="A660" s="1" t="s">
        <v>117</v>
      </c>
      <c r="B660" s="1">
        <v>659</v>
      </c>
      <c r="C660" s="1">
        <v>2017</v>
      </c>
      <c r="D660" s="1">
        <v>2018</v>
      </c>
      <c r="E660" s="1">
        <v>32.45439556425643</v>
      </c>
      <c r="F660" s="1">
        <v>-85.604829354142439</v>
      </c>
      <c r="G660" s="4" t="str">
        <f>HYPERLINK(CONCATENATE("https://ee-faluhong.projects.earthengine.app/view/isp-ts-evaluation#id=659 2017-&gt;2018;lat=32.45439556425643;lon=-85.60482935414244;year=2017;bf=7;level=18;"), "landsat_time_series")</f>
        <v>landsat_time_series</v>
      </c>
      <c r="H660" s="4" t="str">
        <f>HYPERLINK(CONCATENATE("https://jstnbraaten.users.earthengine.app/view/landsat-timeseries-explorer#run=true;lon=-85.60482935414244;lat=32.45439556425643;from=01-01;to=12-31;index=NDVI;rgb=NIR%2FRED%2FGREEN;chipwidth=1;"), "landsat_chips")</f>
        <v>landsat_chips</v>
      </c>
      <c r="I660" s="4" t="str">
        <f>HYPERLINK(CONCATENATE("https://livingatlas.arcgis.com/wayback/#ext=-85.60582935414244,32.45539556425643,-85.60382935414243,32.45339556425643"), "wayback")</f>
        <v>wayback</v>
      </c>
      <c r="J660" s="9" t="s">
        <v>25</v>
      </c>
      <c r="K660" s="9" t="s">
        <v>26</v>
      </c>
      <c r="L660" s="9" t="s">
        <v>24</v>
      </c>
      <c r="M660" s="9" t="s">
        <v>148</v>
      </c>
    </row>
    <row r="661" spans="1:13">
      <c r="A661" s="1" t="s">
        <v>117</v>
      </c>
      <c r="B661" s="1">
        <v>660</v>
      </c>
      <c r="C661" s="1">
        <v>2002</v>
      </c>
      <c r="D661" s="1">
        <v>2003</v>
      </c>
      <c r="E661" s="1">
        <v>32.796472832466449</v>
      </c>
      <c r="F661" s="1">
        <v>-117.018662650414</v>
      </c>
      <c r="G661" s="4" t="str">
        <f>HYPERLINK(CONCATENATE("https://ee-faluhong.projects.earthengine.app/view/isp-ts-evaluation#id=660 2002-&gt;2003;lat=32.79647283246645;lon=-117.018662650414;year=2002;bf=7;level=18;"), "landsat_time_series")</f>
        <v>landsat_time_series</v>
      </c>
      <c r="H661" s="4" t="str">
        <f>HYPERLINK(CONCATENATE("https://jstnbraaten.users.earthengine.app/view/landsat-timeseries-explorer#run=true;lon=-117.018662650414;lat=32.79647283246645;from=01-01;to=12-31;index=NDVI;rgb=NIR%2FRED%2FGREEN;chipwidth=1;"), "landsat_chips")</f>
        <v>landsat_chips</v>
      </c>
      <c r="I661" s="4" t="str">
        <f>HYPERLINK(CONCATENATE("https://livingatlas.arcgis.com/wayback/#ext=-117.019662650414,32.79747283246645,-117.017662650414,32.79547283246645"), "wayback")</f>
        <v>wayback</v>
      </c>
      <c r="J661" s="9" t="s">
        <v>25</v>
      </c>
      <c r="L661" s="9" t="s">
        <v>31</v>
      </c>
      <c r="M661" s="9" t="s">
        <v>149</v>
      </c>
    </row>
    <row r="662" spans="1:13">
      <c r="A662" s="1" t="s">
        <v>117</v>
      </c>
      <c r="B662" s="1">
        <v>661</v>
      </c>
      <c r="C662" s="1">
        <v>2007</v>
      </c>
      <c r="D662" s="1">
        <v>2008</v>
      </c>
      <c r="E662" s="1">
        <v>26.856708763691849</v>
      </c>
      <c r="F662" s="1">
        <v>-81.396464170817083</v>
      </c>
      <c r="G662" s="4" t="str">
        <f>HYPERLINK(CONCATENATE("https://ee-faluhong.projects.earthengine.app/view/isp-ts-evaluation#id=661 2007-&gt;2008;lat=26.85670876369185;lon=-81.39646417081708;year=2007;bf=7;level=18;"), "landsat_time_series")</f>
        <v>landsat_time_series</v>
      </c>
      <c r="H662" s="4" t="str">
        <f>HYPERLINK(CONCATENATE("https://jstnbraaten.users.earthengine.app/view/landsat-timeseries-explorer#run=true;lon=-81.39646417081708;lat=26.85670876369185;from=01-01;to=12-31;index=NDVI;rgb=NIR%2FRED%2FGREEN;chipwidth=1;"), "landsat_chips")</f>
        <v>landsat_chips</v>
      </c>
      <c r="I662" s="4" t="str">
        <f>HYPERLINK(CONCATENATE("https://livingatlas.arcgis.com/wayback/#ext=-81.39746417081709,26.85770876369185,-81.39546417081708,26.855708763691847"), "wayback")</f>
        <v>wayback</v>
      </c>
      <c r="J662" s="9" t="s">
        <v>19</v>
      </c>
      <c r="L662" s="9" t="s">
        <v>31</v>
      </c>
      <c r="M662" s="9" t="s">
        <v>150</v>
      </c>
    </row>
    <row r="663" spans="1:13">
      <c r="A663" s="1" t="s">
        <v>117</v>
      </c>
      <c r="B663" s="1">
        <v>662</v>
      </c>
      <c r="C663" s="1">
        <v>2011</v>
      </c>
      <c r="D663" s="1">
        <v>2012</v>
      </c>
      <c r="E663" s="1">
        <v>40.299537480544949</v>
      </c>
      <c r="F663" s="1">
        <v>-79.369401924413552</v>
      </c>
      <c r="G663" s="4" t="str">
        <f>HYPERLINK(CONCATENATE("https://ee-faluhong.projects.earthengine.app/view/isp-ts-evaluation#id=662 2011-&gt;2012;lat=40.29953748054495;lon=-79.36940192441355;year=2011;bf=7;level=18;"), "landsat_time_series")</f>
        <v>landsat_time_series</v>
      </c>
      <c r="H663" s="4" t="str">
        <f>HYPERLINK(CONCATENATE("https://jstnbraaten.users.earthengine.app/view/landsat-timeseries-explorer#run=true;lon=-79.36940192441355;lat=40.29953748054495;from=01-01;to=12-31;index=NDVI;rgb=NIR%2FRED%2FGREEN;chipwidth=1;"), "landsat_chips")</f>
        <v>landsat_chips</v>
      </c>
      <c r="I663" s="4" t="str">
        <f>HYPERLINK(CONCATENATE("https://livingatlas.arcgis.com/wayback/#ext=-79.37040192441356,40.300537480544946,-79.36840192441355,40.29853748054495"), "wayback")</f>
        <v>wayback</v>
      </c>
      <c r="J663" s="9" t="s">
        <v>21</v>
      </c>
      <c r="L663" s="9" t="s">
        <v>15</v>
      </c>
    </row>
    <row r="664" spans="1:13">
      <c r="A664" s="1" t="s">
        <v>117</v>
      </c>
      <c r="B664" s="1">
        <v>663</v>
      </c>
      <c r="C664" s="1">
        <v>2017</v>
      </c>
      <c r="D664" s="1">
        <v>2018</v>
      </c>
      <c r="E664" s="1">
        <v>33.65330622046757</v>
      </c>
      <c r="F664" s="1">
        <v>-80.045280202906554</v>
      </c>
      <c r="G664" s="4" t="str">
        <f>HYPERLINK(CONCATENATE("https://ee-faluhong.projects.earthengine.app/view/isp-ts-evaluation#id=663 2017-&gt;2018;lat=33.65330622046757;lon=-80.04528020290655;year=2017;bf=7;level=18;"), "landsat_time_series")</f>
        <v>landsat_time_series</v>
      </c>
      <c r="H664" s="4" t="str">
        <f>HYPERLINK(CONCATENATE("https://jstnbraaten.users.earthengine.app/view/landsat-timeseries-explorer#run=true;lon=-80.04528020290655;lat=33.65330622046757;from=01-01;to=12-31;index=NDVI;rgb=NIR%2FRED%2FGREEN;chipwidth=1;"), "landsat_chips")</f>
        <v>landsat_chips</v>
      </c>
      <c r="I664" s="4" t="str">
        <f>HYPERLINK(CONCATENATE("https://livingatlas.arcgis.com/wayback/#ext=-80.04628020290656,33.65430622046757,-80.04428020290655,33.65230622046757"), "wayback")</f>
        <v>wayback</v>
      </c>
      <c r="J664" s="9" t="s">
        <v>25</v>
      </c>
      <c r="K664" s="9" t="s">
        <v>26</v>
      </c>
      <c r="L664" s="9" t="s">
        <v>24</v>
      </c>
      <c r="M664" s="9" t="s">
        <v>148</v>
      </c>
    </row>
    <row r="665" spans="1:13">
      <c r="A665" s="1" t="s">
        <v>117</v>
      </c>
      <c r="B665" s="1">
        <v>664</v>
      </c>
      <c r="C665" s="1">
        <v>2002</v>
      </c>
      <c r="D665" s="1">
        <v>2003</v>
      </c>
      <c r="E665" s="1">
        <v>32.565950125657643</v>
      </c>
      <c r="F665" s="1">
        <v>-94.723545009002663</v>
      </c>
      <c r="G665" s="4" t="str">
        <f>HYPERLINK(CONCATENATE("https://ee-faluhong.projects.earthengine.app/view/isp-ts-evaluation#id=664 2002-&gt;2003;lat=32.56595012565764;lon=-94.72354500900266;year=2002;bf=7;level=18;"), "landsat_time_series")</f>
        <v>landsat_time_series</v>
      </c>
      <c r="H665" s="4" t="str">
        <f>HYPERLINK(CONCATENATE("https://jstnbraaten.users.earthengine.app/view/landsat-timeseries-explorer#run=true;lon=-94.72354500900266;lat=32.56595012565764;from=01-01;to=12-31;index=NDVI;rgb=NIR%2FRED%2FGREEN;chipwidth=1;"), "landsat_chips")</f>
        <v>landsat_chips</v>
      </c>
      <c r="I665" s="4" t="str">
        <f>HYPERLINK(CONCATENATE("https://livingatlas.arcgis.com/wayback/#ext=-94.72454500900267,32.56695012565764,-94.72254500900266,32.564950125657646"), "wayback")</f>
        <v>wayback</v>
      </c>
      <c r="J665" s="9" t="s">
        <v>19</v>
      </c>
      <c r="L665" s="9" t="s">
        <v>15</v>
      </c>
    </row>
    <row r="666" spans="1:13">
      <c r="A666" s="1" t="s">
        <v>117</v>
      </c>
      <c r="B666" s="1">
        <v>665</v>
      </c>
      <c r="C666" s="1">
        <v>2013</v>
      </c>
      <c r="D666" s="1">
        <v>2014</v>
      </c>
      <c r="E666" s="1">
        <v>30.26323181850692</v>
      </c>
      <c r="F666" s="1">
        <v>-95.565339385812635</v>
      </c>
      <c r="G666" s="4" t="str">
        <f>HYPERLINK(CONCATENATE("https://ee-faluhong.projects.earthengine.app/view/isp-ts-evaluation#id=665 2013-&gt;2014;lat=30.26323181850692;lon=-95.56533938581263;year=2013;bf=7;level=18;"), "landsat_time_series")</f>
        <v>landsat_time_series</v>
      </c>
      <c r="H666" s="4" t="str">
        <f>HYPERLINK(CONCATENATE("https://jstnbraaten.users.earthengine.app/view/landsat-timeseries-explorer#run=true;lon=-95.56533938581263;lat=30.26323181850692;from=01-01;to=12-31;index=NDVI;rgb=NIR%2FRED%2FGREEN;chipwidth=1;"), "landsat_chips")</f>
        <v>landsat_chips</v>
      </c>
      <c r="I666" s="4" t="str">
        <f>HYPERLINK(CONCATENATE("https://livingatlas.arcgis.com/wayback/#ext=-95.56633938581264,30.26423181850692,-95.56433938581263,30.26223181850692"), "wayback")</f>
        <v>wayback</v>
      </c>
      <c r="J666" s="9" t="s">
        <v>21</v>
      </c>
      <c r="L666" s="9" t="s">
        <v>24</v>
      </c>
      <c r="M666" s="9" t="s">
        <v>146</v>
      </c>
    </row>
    <row r="667" spans="1:13">
      <c r="A667" s="1" t="s">
        <v>117</v>
      </c>
      <c r="B667" s="1">
        <v>666</v>
      </c>
      <c r="C667" s="1">
        <v>2013</v>
      </c>
      <c r="D667" s="1">
        <v>2014</v>
      </c>
      <c r="E667" s="1">
        <v>34.673708808670909</v>
      </c>
      <c r="F667" s="1">
        <v>-108.3650518521308</v>
      </c>
      <c r="G667" s="4" t="str">
        <f>HYPERLINK(CONCATENATE("https://ee-faluhong.projects.earthengine.app/view/isp-ts-evaluation#id=666 2013-&gt;2014;lat=34.67370880867091;lon=-108.3650518521308;year=2013;bf=7;level=18;"), "landsat_time_series")</f>
        <v>landsat_time_series</v>
      </c>
      <c r="H667" s="4" t="str">
        <f>HYPERLINK(CONCATENATE("https://jstnbraaten.users.earthengine.app/view/landsat-timeseries-explorer#run=true;lon=-108.3650518521308;lat=34.67370880867091;from=01-01;to=12-31;index=NDVI;rgb=NIR%2FRED%2FGREEN;chipwidth=1;"), "landsat_chips")</f>
        <v>landsat_chips</v>
      </c>
      <c r="I667" s="4" t="str">
        <f>HYPERLINK(CONCATENATE("https://livingatlas.arcgis.com/wayback/#ext=-108.36605185213081,34.67470880867091,-108.3640518521308,34.67270880867091"), "wayback")</f>
        <v>wayback</v>
      </c>
      <c r="J667" s="9" t="s">
        <v>19</v>
      </c>
      <c r="L667" s="9" t="s">
        <v>15</v>
      </c>
    </row>
    <row r="668" spans="1:13">
      <c r="A668" s="1" t="s">
        <v>117</v>
      </c>
      <c r="B668" s="1">
        <v>667</v>
      </c>
      <c r="C668" s="1">
        <v>2018</v>
      </c>
      <c r="D668" s="1">
        <v>2019</v>
      </c>
      <c r="E668" s="1">
        <v>33.833942761031111</v>
      </c>
      <c r="F668" s="1">
        <v>-84.034241881103981</v>
      </c>
      <c r="G668" s="4" t="str">
        <f>HYPERLINK(CONCATENATE("https://ee-faluhong.projects.earthengine.app/view/isp-ts-evaluation#id=667 2018-&gt;2019;lat=33.83394276103111;lon=-84.03424188110398;year=2018;bf=7;level=18;"), "landsat_time_series")</f>
        <v>landsat_time_series</v>
      </c>
      <c r="H668" s="4" t="str">
        <f>HYPERLINK(CONCATENATE("https://jstnbraaten.users.earthengine.app/view/landsat-timeseries-explorer#run=true;lon=-84.03424188110398;lat=33.83394276103111;from=01-01;to=12-31;index=NDVI;rgb=NIR%2FRED%2FGREEN;chipwidth=1;"), "landsat_chips")</f>
        <v>landsat_chips</v>
      </c>
      <c r="I668" s="4" t="str">
        <f>HYPERLINK(CONCATENATE("https://livingatlas.arcgis.com/wayback/#ext=-84.03524188110399,33.83494276103111,-84.03324188110398,33.83294276103111"), "wayback")</f>
        <v>wayback</v>
      </c>
      <c r="J668" s="9" t="s">
        <v>34</v>
      </c>
      <c r="L668" s="9" t="s">
        <v>31</v>
      </c>
      <c r="M668" s="9" t="s">
        <v>151</v>
      </c>
    </row>
    <row r="669" spans="1:13">
      <c r="A669" s="1" t="s">
        <v>117</v>
      </c>
      <c r="B669" s="1">
        <v>668</v>
      </c>
      <c r="C669" s="1">
        <v>2013</v>
      </c>
      <c r="D669" s="1">
        <v>2014</v>
      </c>
      <c r="E669" s="1">
        <v>27.919455796996129</v>
      </c>
      <c r="F669" s="1">
        <v>-81.592533891327449</v>
      </c>
      <c r="G669" s="4" t="str">
        <f>HYPERLINK(CONCATENATE("https://ee-faluhong.projects.earthengine.app/view/isp-ts-evaluation#id=668 2013-&gt;2014;lat=27.91945579699613;lon=-81.59253389132745;year=2013;bf=7;level=18;"), "landsat_time_series")</f>
        <v>landsat_time_series</v>
      </c>
      <c r="H669" s="4" t="str">
        <f>HYPERLINK(CONCATENATE("https://jstnbraaten.users.earthengine.app/view/landsat-timeseries-explorer#run=true;lon=-81.59253389132745;lat=27.91945579699613;from=01-01;to=12-31;index=NDVI;rgb=NIR%2FRED%2FGREEN;chipwidth=1;"), "landsat_chips")</f>
        <v>landsat_chips</v>
      </c>
      <c r="I669" s="4" t="str">
        <f>HYPERLINK(CONCATENATE("https://livingatlas.arcgis.com/wayback/#ext=-81.59353389132745,27.92045579699613,-81.59153389132744,27.918455796996128"), "wayback")</f>
        <v>wayback</v>
      </c>
      <c r="J669" s="9" t="s">
        <v>14</v>
      </c>
      <c r="L669" s="9" t="s">
        <v>24</v>
      </c>
    </row>
    <row r="670" spans="1:13">
      <c r="A670" s="1" t="s">
        <v>117</v>
      </c>
      <c r="B670" s="1">
        <v>669</v>
      </c>
      <c r="C670" s="1">
        <v>2002</v>
      </c>
      <c r="D670" s="1">
        <v>2003</v>
      </c>
      <c r="E670" s="1">
        <v>29.87405307706047</v>
      </c>
      <c r="F670" s="1">
        <v>-85.097700608318902</v>
      </c>
      <c r="G670" s="4" t="str">
        <f>HYPERLINK(CONCATENATE("https://ee-faluhong.projects.earthengine.app/view/isp-ts-evaluation#id=669 2002-&gt;2003;lat=29.87405307706047;lon=-85.0977006083189;year=2002;bf=7;level=18;"), "landsat_time_series")</f>
        <v>landsat_time_series</v>
      </c>
      <c r="H670" s="4" t="str">
        <f>HYPERLINK(CONCATENATE("https://jstnbraaten.users.earthengine.app/view/landsat-timeseries-explorer#run=true;lon=-85.0977006083189;lat=29.87405307706047;from=01-01;to=12-31;index=NDVI;rgb=NIR%2FRED%2FGREEN;chipwidth=1;"), "landsat_chips")</f>
        <v>landsat_chips</v>
      </c>
      <c r="I670" s="4" t="str">
        <f>HYPERLINK(CONCATENATE("https://livingatlas.arcgis.com/wayback/#ext=-85.09870060831891,29.87505307706047,-85.0967006083189,29.87305307706047"), "wayback")</f>
        <v>wayback</v>
      </c>
      <c r="J670" s="9" t="s">
        <v>17</v>
      </c>
      <c r="L670" s="9" t="s">
        <v>15</v>
      </c>
    </row>
    <row r="671" spans="1:13">
      <c r="A671" s="1" t="s">
        <v>117</v>
      </c>
      <c r="B671" s="1">
        <v>670</v>
      </c>
      <c r="C671" s="1">
        <v>2004</v>
      </c>
      <c r="D671" s="1">
        <v>2005</v>
      </c>
      <c r="E671" s="1">
        <v>34.499297998720067</v>
      </c>
      <c r="F671" s="1">
        <v>-93.889109978359386</v>
      </c>
      <c r="G671" s="4" t="str">
        <f>HYPERLINK(CONCATENATE("https://ee-faluhong.projects.earthengine.app/view/isp-ts-evaluation#id=670 2004-&gt;2005;lat=34.49929799872007;lon=-93.88910997835939;year=2004;bf=7;level=18;"), "landsat_time_series")</f>
        <v>landsat_time_series</v>
      </c>
      <c r="H671" s="4" t="str">
        <f>HYPERLINK(CONCATENATE("https://jstnbraaten.users.earthengine.app/view/landsat-timeseries-explorer#run=true;lon=-93.88910997835939;lat=34.49929799872007;from=01-01;to=12-31;index=NDVI;rgb=NIR%2FRED%2FGREEN;chipwidth=1;"), "landsat_chips")</f>
        <v>landsat_chips</v>
      </c>
      <c r="I671" s="4" t="str">
        <f>HYPERLINK(CONCATENATE("https://livingatlas.arcgis.com/wayback/#ext=-93.89010997835939,34.500297998720065,-93.88810997835938,34.49829799872007"), "wayback")</f>
        <v>wayback</v>
      </c>
      <c r="J671" s="9" t="s">
        <v>19</v>
      </c>
    </row>
    <row r="672" spans="1:13">
      <c r="A672" s="1" t="s">
        <v>117</v>
      </c>
      <c r="B672" s="1">
        <v>671</v>
      </c>
      <c r="C672" s="1">
        <v>2000</v>
      </c>
      <c r="D672" s="1">
        <v>2001</v>
      </c>
      <c r="E672" s="1">
        <v>32.340381480060259</v>
      </c>
      <c r="F672" s="1">
        <v>-90.811037505261936</v>
      </c>
      <c r="G672" s="4" t="str">
        <f>HYPERLINK(CONCATENATE("https://ee-faluhong.projects.earthengine.app/view/isp-ts-evaluation#id=671 2000-&gt;2001;lat=32.34038148006026;lon=-90.81103750526194;year=2000;bf=7;level=18;"), "landsat_time_series")</f>
        <v>landsat_time_series</v>
      </c>
      <c r="H672" s="4" t="str">
        <f>HYPERLINK(CONCATENATE("https://jstnbraaten.users.earthengine.app/view/landsat-timeseries-explorer#run=true;lon=-90.81103750526194;lat=32.34038148006026;from=01-01;to=12-31;index=NDVI;rgb=NIR%2FRED%2FGREEN;chipwidth=1;"), "landsat_chips")</f>
        <v>landsat_chips</v>
      </c>
      <c r="I672" s="4" t="str">
        <f>HYPERLINK(CONCATENATE("https://livingatlas.arcgis.com/wayback/#ext=-90.81203750526194,32.34138148006026,-90.81003750526193,32.33938148006026"), "wayback")</f>
        <v>wayback</v>
      </c>
      <c r="J672" s="9" t="s">
        <v>34</v>
      </c>
      <c r="L672" s="9" t="s">
        <v>56</v>
      </c>
      <c r="M672" s="9" t="s">
        <v>147</v>
      </c>
    </row>
    <row r="673" spans="1:13">
      <c r="A673" s="1" t="s">
        <v>117</v>
      </c>
      <c r="B673" s="1">
        <v>672</v>
      </c>
      <c r="C673" s="1">
        <v>2007</v>
      </c>
      <c r="D673" s="1">
        <v>2008</v>
      </c>
      <c r="E673" s="1">
        <v>41.989599000152538</v>
      </c>
      <c r="F673" s="1">
        <v>-88.664679120294025</v>
      </c>
      <c r="G673" s="4" t="str">
        <f>HYPERLINK(CONCATENATE("https://ee-faluhong.projects.earthengine.app/view/isp-ts-evaluation#id=672 2007-&gt;2008;lat=41.98959900015254;lon=-88.66467912029402;year=2007;bf=7;level=18;"), "landsat_time_series")</f>
        <v>landsat_time_series</v>
      </c>
      <c r="H673" s="4" t="str">
        <f>HYPERLINK(CONCATENATE("https://jstnbraaten.users.earthengine.app/view/landsat-timeseries-explorer#run=true;lon=-88.66467912029402;lat=41.98959900015254;from=01-01;to=12-31;index=NDVI;rgb=NIR%2FRED%2FGREEN;chipwidth=1;"), "landsat_chips")</f>
        <v>landsat_chips</v>
      </c>
      <c r="I673" s="4" t="str">
        <f>HYPERLINK(CONCATENATE("https://livingatlas.arcgis.com/wayback/#ext=-88.66567912029403,41.990599000152535,-88.66367912029402,41.98859900015254"), "wayback")</f>
        <v>wayback</v>
      </c>
      <c r="J673" s="9" t="s">
        <v>14</v>
      </c>
      <c r="L673" s="9" t="s">
        <v>15</v>
      </c>
    </row>
    <row r="674" spans="1:13">
      <c r="A674" s="1" t="s">
        <v>117</v>
      </c>
      <c r="B674" s="1">
        <v>673</v>
      </c>
      <c r="C674" s="1">
        <v>2001</v>
      </c>
      <c r="D674" s="1">
        <v>2002</v>
      </c>
      <c r="E674" s="1">
        <v>38.018069621434599</v>
      </c>
      <c r="F674" s="1">
        <v>-116.0563282670679</v>
      </c>
      <c r="G674" s="4" t="str">
        <f>HYPERLINK(CONCATENATE("https://ee-faluhong.projects.earthengine.app/view/isp-ts-evaluation#id=673 2001-&gt;2002;lat=38.0180696214346;lon=-116.0563282670679;year=2001;bf=7;level=18;"), "landsat_time_series")</f>
        <v>landsat_time_series</v>
      </c>
      <c r="H674" s="4" t="str">
        <f>HYPERLINK(CONCATENATE("https://jstnbraaten.users.earthengine.app/view/landsat-timeseries-explorer#run=true;lon=-116.0563282670679;lat=38.0180696214346;from=01-01;to=12-31;index=NDVI;rgb=NIR%2FRED%2FGREEN;chipwidth=1;"), "landsat_chips")</f>
        <v>landsat_chips</v>
      </c>
      <c r="I674" s="4" t="str">
        <f>HYPERLINK(CONCATENATE("https://livingatlas.arcgis.com/wayback/#ext=-116.0573282670679,38.019069621434596,-116.05532826706789,38.0170696214346"), "wayback")</f>
        <v>wayback</v>
      </c>
      <c r="J674" s="9" t="s">
        <v>19</v>
      </c>
      <c r="L674" s="9" t="s">
        <v>15</v>
      </c>
    </row>
    <row r="675" spans="1:13">
      <c r="A675" s="1" t="s">
        <v>117</v>
      </c>
      <c r="B675" s="1">
        <v>674</v>
      </c>
      <c r="C675" s="1">
        <v>2000</v>
      </c>
      <c r="D675" s="1">
        <v>2001</v>
      </c>
      <c r="E675" s="1">
        <v>34.264081317853623</v>
      </c>
      <c r="F675" s="1">
        <v>-94.38408986021399</v>
      </c>
      <c r="G675" s="4" t="str">
        <f>HYPERLINK(CONCATENATE("https://ee-faluhong.projects.earthengine.app/view/isp-ts-evaluation#id=674 2000-&gt;2001;lat=34.26408131785362;lon=-94.38408986021399;year=2000;bf=7;level=18;"), "landsat_time_series")</f>
        <v>landsat_time_series</v>
      </c>
      <c r="H675" s="4" t="str">
        <f>HYPERLINK(CONCATENATE("https://jstnbraaten.users.earthengine.app/view/landsat-timeseries-explorer#run=true;lon=-94.38408986021399;lat=34.26408131785362;from=01-01;to=12-31;index=NDVI;rgb=NIR%2FRED%2FGREEN;chipwidth=1;"), "landsat_chips")</f>
        <v>landsat_chips</v>
      </c>
      <c r="I675" s="4" t="str">
        <f>HYPERLINK(CONCATENATE("https://livingatlas.arcgis.com/wayback/#ext=-94.385089860214,34.26508131785362,-94.38308986021399,34.263081317853626"), "wayback")</f>
        <v>wayback</v>
      </c>
      <c r="J675" s="9" t="s">
        <v>17</v>
      </c>
      <c r="L675" s="9" t="s">
        <v>24</v>
      </c>
    </row>
    <row r="676" spans="1:13">
      <c r="A676" s="1" t="s">
        <v>117</v>
      </c>
      <c r="B676" s="1">
        <v>675</v>
      </c>
      <c r="C676" s="1">
        <v>2017</v>
      </c>
      <c r="D676" s="1">
        <v>2018</v>
      </c>
      <c r="E676" s="1">
        <v>46.084002941961323</v>
      </c>
      <c r="F676" s="1">
        <v>-100.77370322533839</v>
      </c>
      <c r="G676" s="4" t="str">
        <f>HYPERLINK(CONCATENATE("https://ee-faluhong.projects.earthengine.app/view/isp-ts-evaluation#id=675 2017-&gt;2018;lat=46.08400294196132;lon=-100.7737032253384;year=2017;bf=7;level=18;"), "landsat_time_series")</f>
        <v>landsat_time_series</v>
      </c>
      <c r="H676" s="4" t="str">
        <f>HYPERLINK(CONCATENATE("https://jstnbraaten.users.earthengine.app/view/landsat-timeseries-explorer#run=true;lon=-100.7737032253384;lat=46.08400294196132;from=01-01;to=12-31;index=NDVI;rgb=NIR%2FRED%2FGREEN;chipwidth=1;"), "landsat_chips")</f>
        <v>landsat_chips</v>
      </c>
      <c r="I676" s="4" t="str">
        <f>HYPERLINK(CONCATENATE("https://livingatlas.arcgis.com/wayback/#ext=-100.7747032253384,46.08500294196132,-100.77270322533839,46.083002941961325"), "wayback")</f>
        <v>wayback</v>
      </c>
      <c r="J676" s="9" t="s">
        <v>19</v>
      </c>
      <c r="L676" s="9" t="s">
        <v>15</v>
      </c>
    </row>
    <row r="677" spans="1:13">
      <c r="A677" s="1" t="s">
        <v>117</v>
      </c>
      <c r="B677" s="1">
        <v>676</v>
      </c>
      <c r="C677" s="1">
        <v>2007</v>
      </c>
      <c r="D677" s="1">
        <v>2008</v>
      </c>
      <c r="E677" s="1">
        <v>34.056896370483607</v>
      </c>
      <c r="F677" s="1">
        <v>-94.506927953295843</v>
      </c>
      <c r="G677" s="4" t="str">
        <f>HYPERLINK(CONCATENATE("https://ee-faluhong.projects.earthengine.app/view/isp-ts-evaluation#id=676 2007-&gt;2008;lat=34.05689637048361;lon=-94.50692795329584;year=2007;bf=7;level=18;"), "landsat_time_series")</f>
        <v>landsat_time_series</v>
      </c>
      <c r="H677" s="4" t="str">
        <f>HYPERLINK(CONCATENATE("https://jstnbraaten.users.earthengine.app/view/landsat-timeseries-explorer#run=true;lon=-94.50692795329584;lat=34.05689637048361;from=01-01;to=12-31;index=NDVI;rgb=NIR%2FRED%2FGREEN;chipwidth=1;"), "landsat_chips")</f>
        <v>landsat_chips</v>
      </c>
      <c r="I677" s="4" t="str">
        <f>HYPERLINK(CONCATENATE("https://livingatlas.arcgis.com/wayback/#ext=-94.50792795329585,34.057896370483604,-94.50592795329584,34.05589637048361"), "wayback")</f>
        <v>wayback</v>
      </c>
      <c r="J677" s="9" t="s">
        <v>21</v>
      </c>
      <c r="L677" s="9" t="s">
        <v>24</v>
      </c>
      <c r="M677" s="9" t="s">
        <v>152</v>
      </c>
    </row>
    <row r="678" spans="1:13">
      <c r="A678" s="1" t="s">
        <v>117</v>
      </c>
      <c r="B678" s="1">
        <v>677</v>
      </c>
      <c r="C678" s="1">
        <v>2010</v>
      </c>
      <c r="D678" s="1">
        <v>2011</v>
      </c>
      <c r="E678" s="1">
        <v>37.354327982799461</v>
      </c>
      <c r="F678" s="1">
        <v>-87.097706082073827</v>
      </c>
      <c r="G678" s="4" t="str">
        <f>HYPERLINK(CONCATENATE("https://ee-faluhong.projects.earthengine.app/view/isp-ts-evaluation#id=677 2010-&gt;2011;lat=37.35432798279946;lon=-87.09770608207383;year=2010;bf=7;level=18;"), "landsat_time_series")</f>
        <v>landsat_time_series</v>
      </c>
      <c r="H678" s="4" t="str">
        <f>HYPERLINK(CONCATENATE("https://jstnbraaten.users.earthengine.app/view/landsat-timeseries-explorer#run=true;lon=-87.09770608207383;lat=37.35432798279946;from=01-01;to=12-31;index=NDVI;rgb=NIR%2FRED%2FGREEN;chipwidth=1;"), "landsat_chips")</f>
        <v>landsat_chips</v>
      </c>
      <c r="I678" s="4" t="str">
        <f>HYPERLINK(CONCATENATE("https://livingatlas.arcgis.com/wayback/#ext=-87.09870608207383,37.35532798279946,-87.09670608207382,37.35332798279946"), "wayback")</f>
        <v>wayback</v>
      </c>
      <c r="J678" s="9" t="s">
        <v>21</v>
      </c>
      <c r="L678" s="9" t="s">
        <v>15</v>
      </c>
    </row>
    <row r="679" spans="1:13">
      <c r="A679" s="1" t="s">
        <v>117</v>
      </c>
      <c r="B679" s="1">
        <v>678</v>
      </c>
      <c r="C679" s="1">
        <v>2004</v>
      </c>
      <c r="D679" s="1">
        <v>2005</v>
      </c>
      <c r="E679" s="1">
        <v>33.871613518232877</v>
      </c>
      <c r="F679" s="1">
        <v>-117.2466608261164</v>
      </c>
      <c r="G679" s="4" t="str">
        <f>HYPERLINK(CONCATENATE("https://ee-faluhong.projects.earthengine.app/view/isp-ts-evaluation#id=678 2004-&gt;2005;lat=33.87161351823288;lon=-117.2466608261164;year=2004;bf=7;level=18;"), "landsat_time_series")</f>
        <v>landsat_time_series</v>
      </c>
      <c r="H679" s="4" t="str">
        <f>HYPERLINK(CONCATENATE("https://jstnbraaten.users.earthengine.app/view/landsat-timeseries-explorer#run=true;lon=-117.2466608261164;lat=33.87161351823288;from=01-01;to=12-31;index=NDVI;rgb=NIR%2FRED%2FGREEN;chipwidth=1;"), "landsat_chips")</f>
        <v>landsat_chips</v>
      </c>
      <c r="I679" s="4" t="str">
        <f>HYPERLINK(CONCATENATE("https://livingatlas.arcgis.com/wayback/#ext=-117.2476608261164,33.872613518232875,-117.24566082611639,33.87061351823288"), "wayback")</f>
        <v>wayback</v>
      </c>
      <c r="J679" s="9" t="s">
        <v>21</v>
      </c>
      <c r="L679" s="9" t="s">
        <v>15</v>
      </c>
      <c r="M679" s="9" t="s">
        <v>153</v>
      </c>
    </row>
    <row r="680" spans="1:13">
      <c r="A680" s="1" t="s">
        <v>117</v>
      </c>
      <c r="B680" s="1">
        <v>679</v>
      </c>
      <c r="C680" s="1">
        <v>2005</v>
      </c>
      <c r="D680" s="1">
        <v>2006</v>
      </c>
      <c r="E680" s="1">
        <v>30.43638886867814</v>
      </c>
      <c r="F680" s="1">
        <v>-103.41168613493031</v>
      </c>
      <c r="G680" s="4" t="str">
        <f>HYPERLINK(CONCATENATE("https://ee-faluhong.projects.earthengine.app/view/isp-ts-evaluation#id=679 2005-&gt;2006;lat=30.43638886867814;lon=-103.4116861349303;year=2005;bf=7;level=18;"), "landsat_time_series")</f>
        <v>landsat_time_series</v>
      </c>
      <c r="H680" s="4" t="str">
        <f>HYPERLINK(CONCATENATE("https://jstnbraaten.users.earthengine.app/view/landsat-timeseries-explorer#run=true;lon=-103.4116861349303;lat=30.43638886867814;from=01-01;to=12-31;index=NDVI;rgb=NIR%2FRED%2FGREEN;chipwidth=1;"), "landsat_chips")</f>
        <v>landsat_chips</v>
      </c>
      <c r="I680" s="4" t="str">
        <f>HYPERLINK(CONCATENATE("https://livingatlas.arcgis.com/wayback/#ext=-103.41268613493031,30.43738886867814,-103.4106861349303,30.43538886867814"), "wayback")</f>
        <v>wayback</v>
      </c>
      <c r="J680" s="9" t="s">
        <v>19</v>
      </c>
      <c r="L680" s="9" t="s">
        <v>15</v>
      </c>
    </row>
    <row r="681" spans="1:13">
      <c r="A681" s="1" t="s">
        <v>117</v>
      </c>
      <c r="B681" s="1">
        <v>680</v>
      </c>
      <c r="C681" s="1">
        <v>2018</v>
      </c>
      <c r="D681" s="1">
        <v>2019</v>
      </c>
      <c r="E681" s="1">
        <v>45.53410568571131</v>
      </c>
      <c r="F681" s="1">
        <v>-99.461291359013174</v>
      </c>
      <c r="G681" s="4" t="str">
        <f>HYPERLINK(CONCATENATE("https://ee-faluhong.projects.earthengine.app/view/isp-ts-evaluation#id=680 2018-&gt;2019;lat=45.53410568571131;lon=-99.46129135901317;year=2018;bf=7;level=18;"), "landsat_time_series")</f>
        <v>landsat_time_series</v>
      </c>
      <c r="H681" s="4" t="str">
        <f>HYPERLINK(CONCATENATE("https://jstnbraaten.users.earthengine.app/view/landsat-timeseries-explorer#run=true;lon=-99.46129135901317;lat=45.53410568571131;from=01-01;to=12-31;index=NDVI;rgb=NIR%2FRED%2FGREEN;chipwidth=1;"), "landsat_chips")</f>
        <v>landsat_chips</v>
      </c>
      <c r="I681" s="4" t="str">
        <f>HYPERLINK(CONCATENATE("https://livingatlas.arcgis.com/wayback/#ext=-99.46229135901318,45.53510568571131,-99.46029135901317,45.53310568571131"), "wayback")</f>
        <v>wayback</v>
      </c>
      <c r="J681" s="9" t="s">
        <v>25</v>
      </c>
      <c r="K681" s="9" t="s">
        <v>26</v>
      </c>
      <c r="L681" s="9" t="s">
        <v>24</v>
      </c>
    </row>
    <row r="682" spans="1:13">
      <c r="A682" s="1" t="s">
        <v>117</v>
      </c>
      <c r="B682" s="1">
        <v>681</v>
      </c>
      <c r="C682" s="1">
        <v>2018</v>
      </c>
      <c r="D682" s="1">
        <v>2019</v>
      </c>
      <c r="E682" s="1">
        <v>28.787455135241871</v>
      </c>
      <c r="F682" s="1">
        <v>-98.690021468273301</v>
      </c>
      <c r="G682" s="4" t="str">
        <f>HYPERLINK(CONCATENATE("https://ee-faluhong.projects.earthengine.app/view/isp-ts-evaluation#id=681 2018-&gt;2019;lat=28.78745513524187;lon=-98.6900214682733;year=2018;bf=7;level=18;"), "landsat_time_series")</f>
        <v>landsat_time_series</v>
      </c>
      <c r="H682" s="4" t="str">
        <f>HYPERLINK(CONCATENATE("https://jstnbraaten.users.earthengine.app/view/landsat-timeseries-explorer#run=true;lon=-98.6900214682733;lat=28.78745513524187;from=01-01;to=12-31;index=NDVI;rgb=NIR%2FRED%2FGREEN;chipwidth=1;"), "landsat_chips")</f>
        <v>landsat_chips</v>
      </c>
      <c r="I682" s="4" t="str">
        <f>HYPERLINK(CONCATENATE("https://livingatlas.arcgis.com/wayback/#ext=-98.6910214682733,28.788455135241872,-98.6890214682733,28.78645513524187"), "wayback")</f>
        <v>wayback</v>
      </c>
      <c r="J682" s="9" t="s">
        <v>19</v>
      </c>
      <c r="L682" s="9" t="s">
        <v>15</v>
      </c>
    </row>
    <row r="683" spans="1:13">
      <c r="A683" s="1" t="s">
        <v>117</v>
      </c>
      <c r="B683" s="1">
        <v>682</v>
      </c>
      <c r="C683" s="1">
        <v>2005</v>
      </c>
      <c r="D683" s="1">
        <v>2006</v>
      </c>
      <c r="E683" s="1">
        <v>42.674829614566931</v>
      </c>
      <c r="F683" s="1">
        <v>-83.143696288661133</v>
      </c>
      <c r="G683" s="4" t="str">
        <f>HYPERLINK(CONCATENATE("https://ee-faluhong.projects.earthengine.app/view/isp-ts-evaluation#id=682 2005-&gt;2006;lat=42.67482961456693;lon=-83.14369628866113;year=2005;bf=7;level=18;"), "landsat_time_series")</f>
        <v>landsat_time_series</v>
      </c>
      <c r="H683" s="4" t="str">
        <f>HYPERLINK(CONCATENATE("https://jstnbraaten.users.earthengine.app/view/landsat-timeseries-explorer#run=true;lon=-83.14369628866113;lat=42.67482961456693;from=01-01;to=12-31;index=NDVI;rgb=NIR%2FRED%2FGREEN;chipwidth=1;"), "landsat_chips")</f>
        <v>landsat_chips</v>
      </c>
      <c r="I683" s="4" t="str">
        <f>HYPERLINK(CONCATENATE("https://livingatlas.arcgis.com/wayback/#ext=-83.14469628866114,42.67582961456693,-83.14269628866113,42.673829614566934"), "wayback")</f>
        <v>wayback</v>
      </c>
      <c r="J683" s="9" t="s">
        <v>21</v>
      </c>
      <c r="L683" s="9" t="s">
        <v>24</v>
      </c>
    </row>
    <row r="684" spans="1:13">
      <c r="A684" s="1" t="s">
        <v>117</v>
      </c>
      <c r="B684" s="1">
        <v>683</v>
      </c>
      <c r="C684" s="1">
        <v>2017</v>
      </c>
      <c r="D684" s="1">
        <v>2018</v>
      </c>
      <c r="E684" s="1">
        <v>30.18151798413933</v>
      </c>
      <c r="F684" s="1">
        <v>-103.6812754325191</v>
      </c>
      <c r="G684" s="4" t="str">
        <f>HYPERLINK(CONCATENATE("https://ee-faluhong.projects.earthengine.app/view/isp-ts-evaluation#id=683 2017-&gt;2018;lat=30.18151798413933;lon=-103.6812754325191;year=2017;bf=7;level=18;"), "landsat_time_series")</f>
        <v>landsat_time_series</v>
      </c>
      <c r="H684" s="4" t="str">
        <f>HYPERLINK(CONCATENATE("https://jstnbraaten.users.earthengine.app/view/landsat-timeseries-explorer#run=true;lon=-103.6812754325191;lat=30.18151798413933;from=01-01;to=12-31;index=NDVI;rgb=NIR%2FRED%2FGREEN;chipwidth=1;"), "landsat_chips")</f>
        <v>landsat_chips</v>
      </c>
      <c r="I684" s="4" t="str">
        <f>HYPERLINK(CONCATENATE("https://livingatlas.arcgis.com/wayback/#ext=-103.6822754325191,30.18251798413933,-103.6802754325191,30.18051798413933"), "wayback")</f>
        <v>wayback</v>
      </c>
      <c r="J684" s="9" t="s">
        <v>19</v>
      </c>
      <c r="L684" s="9" t="s">
        <v>15</v>
      </c>
    </row>
    <row r="685" spans="1:13">
      <c r="A685" s="1" t="s">
        <v>117</v>
      </c>
      <c r="B685" s="1">
        <v>684</v>
      </c>
      <c r="C685" s="1">
        <v>2008</v>
      </c>
      <c r="D685" s="1">
        <v>2009</v>
      </c>
      <c r="E685" s="1">
        <v>43.297420009348578</v>
      </c>
      <c r="F685" s="1">
        <v>-123.08373897730181</v>
      </c>
      <c r="G685" s="4" t="str">
        <f>HYPERLINK(CONCATENATE("https://ee-faluhong.projects.earthengine.app/view/isp-ts-evaluation#id=684 2008-&gt;2009;lat=43.29742000934858;lon=-123.0837389773018;year=2008;bf=7;level=18;"), "landsat_time_series")</f>
        <v>landsat_time_series</v>
      </c>
      <c r="H685" s="4" t="str">
        <f>HYPERLINK(CONCATENATE("https://jstnbraaten.users.earthengine.app/view/landsat-timeseries-explorer#run=true;lon=-123.0837389773018;lat=43.29742000934858;from=01-01;to=12-31;index=NDVI;rgb=NIR%2FRED%2FGREEN;chipwidth=1;"), "landsat_chips")</f>
        <v>landsat_chips</v>
      </c>
      <c r="I685" s="4" t="str">
        <f>HYPERLINK(CONCATENATE("https://livingatlas.arcgis.com/wayback/#ext=-123.08473897730181,43.298420009348575,-123.0827389773018,43.29642000934858"), "wayback")</f>
        <v>wayback</v>
      </c>
      <c r="J685" s="9" t="s">
        <v>17</v>
      </c>
      <c r="L685" s="9" t="s">
        <v>24</v>
      </c>
    </row>
    <row r="686" spans="1:13">
      <c r="A686" s="1" t="s">
        <v>117</v>
      </c>
      <c r="B686" s="1">
        <v>685</v>
      </c>
      <c r="C686" s="1">
        <v>2015</v>
      </c>
      <c r="D686" s="1">
        <v>2016</v>
      </c>
      <c r="E686" s="1">
        <v>34.172883533808417</v>
      </c>
      <c r="F686" s="1">
        <v>-83.202990178461391</v>
      </c>
      <c r="G686" s="4" t="str">
        <f>HYPERLINK(CONCATENATE("https://ee-faluhong.projects.earthengine.app/view/isp-ts-evaluation#id=685 2015-&gt;2016;lat=34.17288353380842;lon=-83.20299017846139;year=2015;bf=7;level=18;"), "landsat_time_series")</f>
        <v>landsat_time_series</v>
      </c>
      <c r="H686" s="4" t="str">
        <f>HYPERLINK(CONCATENATE("https://jstnbraaten.users.earthengine.app/view/landsat-timeseries-explorer#run=true;lon=-83.20299017846139;lat=34.17288353380842;from=01-01;to=12-31;index=NDVI;rgb=NIR%2FRED%2FGREEN;chipwidth=1;"), "landsat_chips")</f>
        <v>landsat_chips</v>
      </c>
      <c r="I686" s="4" t="str">
        <f>HYPERLINK(CONCATENATE("https://livingatlas.arcgis.com/wayback/#ext=-83.2039901784614,34.173883533808414,-83.20199017846139,34.17188353380842"), "wayback")</f>
        <v>wayback</v>
      </c>
      <c r="J686" s="9" t="s">
        <v>25</v>
      </c>
      <c r="K686" s="9" t="s">
        <v>26</v>
      </c>
      <c r="L686" s="9" t="s">
        <v>15</v>
      </c>
      <c r="M686" s="9" t="s">
        <v>129</v>
      </c>
    </row>
    <row r="687" spans="1:13">
      <c r="A687" s="1" t="s">
        <v>117</v>
      </c>
      <c r="B687" s="1">
        <v>686</v>
      </c>
      <c r="C687" s="1">
        <v>2016</v>
      </c>
      <c r="D687" s="1">
        <v>2017</v>
      </c>
      <c r="E687" s="1">
        <v>34.005284865198171</v>
      </c>
      <c r="F687" s="1">
        <v>-84.567636857950362</v>
      </c>
      <c r="G687" s="4" t="str">
        <f>HYPERLINK(CONCATENATE("https://ee-faluhong.projects.earthengine.app/view/isp-ts-evaluation#id=686 2016-&gt;2017;lat=34.00528486519817;lon=-84.56763685795036;year=2016;bf=7;level=18;"), "landsat_time_series")</f>
        <v>landsat_time_series</v>
      </c>
      <c r="H687" s="4" t="str">
        <f>HYPERLINK(CONCATENATE("https://jstnbraaten.users.earthengine.app/view/landsat-timeseries-explorer#run=true;lon=-84.56763685795036;lat=34.00528486519817;from=01-01;to=12-31;index=NDVI;rgb=NIR%2FRED%2FGREEN;chipwidth=1;"), "landsat_chips")</f>
        <v>landsat_chips</v>
      </c>
      <c r="I687" s="4" t="str">
        <f>HYPERLINK(CONCATENATE("https://livingatlas.arcgis.com/wayback/#ext=-84.56863685795037,34.00628486519817,-84.56663685795036,34.00428486519817"), "wayback")</f>
        <v>wayback</v>
      </c>
      <c r="J687" s="9" t="s">
        <v>21</v>
      </c>
      <c r="L687" s="9" t="s">
        <v>15</v>
      </c>
    </row>
    <row r="688" spans="1:13">
      <c r="A688" s="1" t="s">
        <v>117</v>
      </c>
      <c r="B688" s="1">
        <v>687</v>
      </c>
      <c r="C688" s="1">
        <v>2010</v>
      </c>
      <c r="D688" s="1">
        <v>2011</v>
      </c>
      <c r="E688" s="1">
        <v>39.217166294157742</v>
      </c>
      <c r="F688" s="1">
        <v>-104.043194621016</v>
      </c>
      <c r="G688" s="4" t="str">
        <f>HYPERLINK(CONCATENATE("https://ee-faluhong.projects.earthengine.app/view/isp-ts-evaluation#id=687 2010-&gt;2011;lat=39.21716629415774;lon=-104.043194621016;year=2010;bf=7;level=18;"), "landsat_time_series")</f>
        <v>landsat_time_series</v>
      </c>
      <c r="H688" s="4" t="str">
        <f>HYPERLINK(CONCATENATE("https://jstnbraaten.users.earthengine.app/view/landsat-timeseries-explorer#run=true;lon=-104.043194621016;lat=39.21716629415774;from=01-01;to=12-31;index=NDVI;rgb=NIR%2FRED%2FGREEN;chipwidth=1;"), "landsat_chips")</f>
        <v>landsat_chips</v>
      </c>
      <c r="I688" s="4" t="str">
        <f>HYPERLINK(CONCATENATE("https://livingatlas.arcgis.com/wayback/#ext=-104.044194621016,39.21816629415774,-104.042194621016,39.216166294157745"), "wayback")</f>
        <v>wayback</v>
      </c>
      <c r="J688" s="9" t="s">
        <v>19</v>
      </c>
      <c r="L688" s="9" t="s">
        <v>15</v>
      </c>
    </row>
    <row r="689" spans="1:13">
      <c r="A689" s="1" t="s">
        <v>117</v>
      </c>
      <c r="B689" s="1">
        <v>688</v>
      </c>
      <c r="C689" s="1">
        <v>2017</v>
      </c>
      <c r="D689" s="1">
        <v>2018</v>
      </c>
      <c r="E689" s="1">
        <v>36.152680682781742</v>
      </c>
      <c r="F689" s="1">
        <v>-78.89591224535468</v>
      </c>
      <c r="G689" s="4" t="str">
        <f>HYPERLINK(CONCATENATE("https://ee-faluhong.projects.earthengine.app/view/isp-ts-evaluation#id=688 2017-&gt;2018;lat=36.15268068278174;lon=-78.89591224535468;year=2017;bf=7;level=18;"), "landsat_time_series")</f>
        <v>landsat_time_series</v>
      </c>
      <c r="H689" s="4" t="str">
        <f>HYPERLINK(CONCATENATE("https://jstnbraaten.users.earthengine.app/view/landsat-timeseries-explorer#run=true;lon=-78.89591224535468;lat=36.15268068278174;from=01-01;to=12-31;index=NDVI;rgb=NIR%2FRED%2FGREEN;chipwidth=1;"), "landsat_chips")</f>
        <v>landsat_chips</v>
      </c>
      <c r="I689" s="4" t="str">
        <f>HYPERLINK(CONCATENATE("https://livingatlas.arcgis.com/wayback/#ext=-78.89691224535468,36.15368068278174,-78.89491224535467,36.151680682781745"), "wayback")</f>
        <v>wayback</v>
      </c>
      <c r="J689" s="9" t="s">
        <v>25</v>
      </c>
      <c r="K689" s="9" t="s">
        <v>26</v>
      </c>
      <c r="L689" s="9" t="s">
        <v>15</v>
      </c>
      <c r="M689" s="9" t="s">
        <v>129</v>
      </c>
    </row>
    <row r="690" spans="1:13">
      <c r="A690" s="1" t="s">
        <v>117</v>
      </c>
      <c r="B690" s="1">
        <v>689</v>
      </c>
      <c r="C690" s="1">
        <v>2007</v>
      </c>
      <c r="D690" s="1">
        <v>2008</v>
      </c>
      <c r="E690" s="1">
        <v>42.930222268475099</v>
      </c>
      <c r="F690" s="1">
        <v>-71.013315922823566</v>
      </c>
      <c r="G690" s="4" t="str">
        <f>HYPERLINK(CONCATENATE("https://ee-faluhong.projects.earthengine.app/view/isp-ts-evaluation#id=689 2007-&gt;2008;lat=42.9302222684751;lon=-71.01331592282357;year=2007;bf=7;level=18;"), "landsat_time_series")</f>
        <v>landsat_time_series</v>
      </c>
      <c r="H690" s="4" t="str">
        <f>HYPERLINK(CONCATENATE("https://jstnbraaten.users.earthengine.app/view/landsat-timeseries-explorer#run=true;lon=-71.01331592282357;lat=42.9302222684751;from=01-01;to=12-31;index=NDVI;rgb=NIR%2FRED%2FGREEN;chipwidth=1;"), "landsat_chips")</f>
        <v>landsat_chips</v>
      </c>
      <c r="I690" s="4" t="str">
        <f>HYPERLINK(CONCATENATE("https://livingatlas.arcgis.com/wayback/#ext=-71.01431592282357,42.931222268475096,-71.01231592282356,42.9292222684751"), "wayback")</f>
        <v>wayback</v>
      </c>
      <c r="J690" s="9" t="s">
        <v>17</v>
      </c>
      <c r="L690" s="9" t="s">
        <v>15</v>
      </c>
    </row>
    <row r="691" spans="1:13">
      <c r="A691" s="1" t="s">
        <v>117</v>
      </c>
      <c r="B691" s="1">
        <v>690</v>
      </c>
      <c r="C691" s="1">
        <v>2015</v>
      </c>
      <c r="D691" s="1">
        <v>2016</v>
      </c>
      <c r="E691" s="1">
        <v>44.176746875293667</v>
      </c>
      <c r="F691" s="1">
        <v>-111.2886681798567</v>
      </c>
      <c r="G691" s="4" t="str">
        <f>HYPERLINK(CONCATENATE("https://ee-faluhong.projects.earthengine.app/view/isp-ts-evaluation#id=690 2015-&gt;2016;lat=44.17674687529367;lon=-111.2886681798567;year=2015;bf=7;level=18;"), "landsat_time_series")</f>
        <v>landsat_time_series</v>
      </c>
      <c r="H691" s="4" t="str">
        <f>HYPERLINK(CONCATENATE("https://jstnbraaten.users.earthengine.app/view/landsat-timeseries-explorer#run=true;lon=-111.2886681798567;lat=44.17674687529367;from=01-01;to=12-31;index=NDVI;rgb=NIR%2FRED%2FGREEN;chipwidth=1;"), "landsat_chips")</f>
        <v>landsat_chips</v>
      </c>
      <c r="I691" s="4" t="str">
        <f>HYPERLINK(CONCATENATE("https://livingatlas.arcgis.com/wayback/#ext=-111.2896681798567,44.177746875293664,-111.2876681798567,44.17574687529367"), "wayback")</f>
        <v>wayback</v>
      </c>
      <c r="J691" s="9" t="s">
        <v>19</v>
      </c>
      <c r="L691" s="9" t="s">
        <v>15</v>
      </c>
    </row>
    <row r="692" spans="1:13">
      <c r="A692" s="1" t="s">
        <v>117</v>
      </c>
      <c r="B692" s="1">
        <v>691</v>
      </c>
      <c r="C692" s="1">
        <v>2016</v>
      </c>
      <c r="D692" s="1">
        <v>2017</v>
      </c>
      <c r="E692" s="1">
        <v>32.199386495484887</v>
      </c>
      <c r="F692" s="1">
        <v>-81.182224615542907</v>
      </c>
      <c r="G692" s="4" t="str">
        <f>HYPERLINK(CONCATENATE("https://ee-faluhong.projects.earthengine.app/view/isp-ts-evaluation#id=691 2016-&gt;2017;lat=32.19938649548489;lon=-81.1822246155429;year=2016;bf=7;level=18;"), "landsat_time_series")</f>
        <v>landsat_time_series</v>
      </c>
      <c r="H692" s="4" t="str">
        <f>HYPERLINK(CONCATENATE("https://jstnbraaten.users.earthengine.app/view/landsat-timeseries-explorer#run=true;lon=-81.1822246155429;lat=32.19938649548489;from=01-01;to=12-31;index=NDVI;rgb=NIR%2FRED%2FGREEN;chipwidth=1;"), "landsat_chips")</f>
        <v>landsat_chips</v>
      </c>
      <c r="I692" s="4" t="str">
        <f>HYPERLINK(CONCATENATE("https://livingatlas.arcgis.com/wayback/#ext=-81.18322461554291,32.200386495484885,-81.1812246155429,32.19838649548489"), "wayback")</f>
        <v>wayback</v>
      </c>
      <c r="J692" s="9" t="s">
        <v>14</v>
      </c>
      <c r="L692" s="9" t="s">
        <v>15</v>
      </c>
    </row>
    <row r="693" spans="1:13">
      <c r="A693" s="1" t="s">
        <v>117</v>
      </c>
      <c r="B693" s="1">
        <v>692</v>
      </c>
      <c r="C693" s="1">
        <v>2000</v>
      </c>
      <c r="D693" s="1">
        <v>2001</v>
      </c>
      <c r="E693" s="1">
        <v>37.74613218329786</v>
      </c>
      <c r="F693" s="1">
        <v>-113.16534113769551</v>
      </c>
      <c r="G693" s="4" t="str">
        <f>HYPERLINK(CONCATENATE("https://ee-faluhong.projects.earthengine.app/view/isp-ts-evaluation#id=692 2000-&gt;2001;lat=37.74613218329786;lon=-113.1653411376955;year=2000;bf=7;level=18;"), "landsat_time_series")</f>
        <v>landsat_time_series</v>
      </c>
      <c r="H693" s="4" t="str">
        <f>HYPERLINK(CONCATENATE("https://jstnbraaten.users.earthengine.app/view/landsat-timeseries-explorer#run=true;lon=-113.1653411376955;lat=37.74613218329786;from=01-01;to=12-31;index=NDVI;rgb=NIR%2FRED%2FGREEN;chipwidth=1;"), "landsat_chips")</f>
        <v>landsat_chips</v>
      </c>
      <c r="I693" s="4" t="str">
        <f>HYPERLINK(CONCATENATE("https://livingatlas.arcgis.com/wayback/#ext=-113.16634113769551,37.74713218329786,-113.1643411376955,37.74513218329786"), "wayback")</f>
        <v>wayback</v>
      </c>
      <c r="J693" s="9" t="s">
        <v>19</v>
      </c>
      <c r="L693" s="9" t="s">
        <v>15</v>
      </c>
    </row>
    <row r="694" spans="1:13">
      <c r="A694" s="1" t="s">
        <v>117</v>
      </c>
      <c r="B694" s="1">
        <v>693</v>
      </c>
      <c r="C694" s="1">
        <v>2006</v>
      </c>
      <c r="D694" s="1">
        <v>2007</v>
      </c>
      <c r="E694" s="1">
        <v>48.786019676345511</v>
      </c>
      <c r="F694" s="1">
        <v>-120.6385389188986</v>
      </c>
      <c r="G694" s="4" t="str">
        <f>HYPERLINK(CONCATENATE("https://ee-faluhong.projects.earthengine.app/view/isp-ts-evaluation#id=693 2006-&gt;2007;lat=48.78601967634551;lon=-120.6385389188986;year=2006;bf=7;level=18;"), "landsat_time_series")</f>
        <v>landsat_time_series</v>
      </c>
      <c r="H694" s="4" t="str">
        <f>HYPERLINK(CONCATENATE("https://jstnbraaten.users.earthengine.app/view/landsat-timeseries-explorer#run=true;lon=-120.6385389188986;lat=48.78601967634551;from=01-01;to=12-31;index=NDVI;rgb=NIR%2FRED%2FGREEN;chipwidth=1;"), "landsat_chips")</f>
        <v>landsat_chips</v>
      </c>
      <c r="I694" s="4" t="str">
        <f>HYPERLINK(CONCATENATE("https://livingatlas.arcgis.com/wayback/#ext=-120.63953891889861,48.78701967634551,-120.6375389188986,48.78501967634551"), "wayback")</f>
        <v>wayback</v>
      </c>
      <c r="J694" s="9" t="s">
        <v>19</v>
      </c>
      <c r="L694" s="9" t="s">
        <v>15</v>
      </c>
    </row>
    <row r="695" spans="1:13">
      <c r="A695" s="1" t="s">
        <v>117</v>
      </c>
      <c r="B695" s="1">
        <v>694</v>
      </c>
      <c r="C695" s="1">
        <v>2015</v>
      </c>
      <c r="D695" s="1">
        <v>2016</v>
      </c>
      <c r="E695" s="1">
        <v>33.030623338624629</v>
      </c>
      <c r="F695" s="1">
        <v>-96.979194073498022</v>
      </c>
      <c r="G695" s="4" t="str">
        <f>HYPERLINK(CONCATENATE("https://ee-faluhong.projects.earthengine.app/view/isp-ts-evaluation#id=694 2015-&gt;2016;lat=33.03062333862463;lon=-96.97919407349802;year=2015;bf=7;level=18;"), "landsat_time_series")</f>
        <v>landsat_time_series</v>
      </c>
      <c r="H695" s="4" t="str">
        <f>HYPERLINK(CONCATENATE("https://jstnbraaten.users.earthengine.app/view/landsat-timeseries-explorer#run=true;lon=-96.97919407349802;lat=33.03062333862463;from=01-01;to=12-31;index=NDVI;rgb=NIR%2FRED%2FGREEN;chipwidth=1;"), "landsat_chips")</f>
        <v>landsat_chips</v>
      </c>
      <c r="I695" s="4" t="str">
        <f>HYPERLINK(CONCATENATE("https://livingatlas.arcgis.com/wayback/#ext=-96.98019407349803,33.03162333862463,-96.97819407349802,33.02962333862463"), "wayback")</f>
        <v>wayback</v>
      </c>
      <c r="J695" s="9" t="s">
        <v>14</v>
      </c>
      <c r="L695" s="9" t="s">
        <v>15</v>
      </c>
    </row>
    <row r="696" spans="1:13">
      <c r="A696" s="1" t="s">
        <v>117</v>
      </c>
      <c r="B696" s="1">
        <v>695</v>
      </c>
      <c r="C696" s="1">
        <v>2003</v>
      </c>
      <c r="D696" s="1">
        <v>2004</v>
      </c>
      <c r="E696" s="1">
        <v>36.926604290105473</v>
      </c>
      <c r="F696" s="1">
        <v>-120.6340450193678</v>
      </c>
      <c r="G696" s="4" t="str">
        <f>HYPERLINK(CONCATENATE("https://ee-faluhong.projects.earthengine.app/view/isp-ts-evaluation#id=695 2003-&gt;2004;lat=36.92660429010547;lon=-120.6340450193678;year=2003;bf=7;level=18;"), "landsat_time_series")</f>
        <v>landsat_time_series</v>
      </c>
      <c r="H696" s="4" t="str">
        <f>HYPERLINK(CONCATENATE("https://jstnbraaten.users.earthengine.app/view/landsat-timeseries-explorer#run=true;lon=-120.6340450193678;lat=36.92660429010547;from=01-01;to=12-31;index=NDVI;rgb=NIR%2FRED%2FGREEN;chipwidth=1;"), "landsat_chips")</f>
        <v>landsat_chips</v>
      </c>
      <c r="I696" s="4" t="str">
        <f>HYPERLINK(CONCATENATE("https://livingatlas.arcgis.com/wayback/#ext=-120.63504501936781,36.92760429010547,-120.6330450193678,36.925604290105476"), "wayback")</f>
        <v>wayback</v>
      </c>
      <c r="J696" s="9" t="s">
        <v>19</v>
      </c>
      <c r="L696" s="9" t="s">
        <v>15</v>
      </c>
    </row>
    <row r="697" spans="1:13">
      <c r="A697" s="1" t="s">
        <v>117</v>
      </c>
      <c r="B697" s="1">
        <v>696</v>
      </c>
      <c r="C697" s="1">
        <v>2012</v>
      </c>
      <c r="D697" s="1">
        <v>2013</v>
      </c>
      <c r="E697" s="1">
        <v>31.047561666430351</v>
      </c>
      <c r="F697" s="1">
        <v>-97.638511954900196</v>
      </c>
      <c r="G697" s="4" t="str">
        <f>HYPERLINK(CONCATENATE("https://ee-faluhong.projects.earthengine.app/view/isp-ts-evaluation#id=696 2012-&gt;2013;lat=31.04756166643035;lon=-97.6385119549002;year=2012;bf=7;level=18;"), "landsat_time_series")</f>
        <v>landsat_time_series</v>
      </c>
      <c r="H697" s="4" t="str">
        <f>HYPERLINK(CONCATENATE("https://jstnbraaten.users.earthengine.app/view/landsat-timeseries-explorer#run=true;lon=-97.6385119549002;lat=31.04756166643035;from=01-01;to=12-31;index=NDVI;rgb=NIR%2FRED%2FGREEN;chipwidth=1;"), "landsat_chips")</f>
        <v>landsat_chips</v>
      </c>
      <c r="I697" s="4" t="str">
        <f>HYPERLINK(CONCATENATE("https://livingatlas.arcgis.com/wayback/#ext=-97.6395119549002,31.048561666430352,-97.63751195490019,31.04656166643035"), "wayback")</f>
        <v>wayback</v>
      </c>
      <c r="J697" s="9" t="s">
        <v>14</v>
      </c>
      <c r="L697" s="9" t="s">
        <v>15</v>
      </c>
    </row>
    <row r="698" spans="1:13">
      <c r="A698" s="1" t="s">
        <v>117</v>
      </c>
      <c r="B698" s="1">
        <v>697</v>
      </c>
      <c r="C698" s="1">
        <v>2001</v>
      </c>
      <c r="D698" s="1">
        <v>2002</v>
      </c>
      <c r="E698" s="1">
        <v>31.361614245888411</v>
      </c>
      <c r="F698" s="1">
        <v>-110.3402892697578</v>
      </c>
      <c r="G698" s="4" t="str">
        <f>HYPERLINK(CONCATENATE("https://ee-faluhong.projects.earthengine.app/view/isp-ts-evaluation#id=697 2001-&gt;2002;lat=31.36161424588841;lon=-110.3402892697578;year=2001;bf=7;level=18;"), "landsat_time_series")</f>
        <v>landsat_time_series</v>
      </c>
      <c r="H698" s="4" t="str">
        <f>HYPERLINK(CONCATENATE("https://jstnbraaten.users.earthengine.app/view/landsat-timeseries-explorer#run=true;lon=-110.3402892697578;lat=31.36161424588841;from=01-01;to=12-31;index=NDVI;rgb=NIR%2FRED%2FGREEN;chipwidth=1;"), "landsat_chips")</f>
        <v>landsat_chips</v>
      </c>
      <c r="I698" s="4" t="str">
        <f>HYPERLINK(CONCATENATE("https://livingatlas.arcgis.com/wayback/#ext=-110.34128926975781,31.362614245888413,-110.3392892697578,31.36061424588841"), "wayback")</f>
        <v>wayback</v>
      </c>
      <c r="J698" s="9" t="s">
        <v>19</v>
      </c>
      <c r="L698" s="9" t="s">
        <v>15</v>
      </c>
    </row>
    <row r="699" spans="1:13">
      <c r="A699" s="1" t="s">
        <v>117</v>
      </c>
      <c r="B699" s="1">
        <v>698</v>
      </c>
      <c r="C699" s="1">
        <v>2015</v>
      </c>
      <c r="D699" s="1">
        <v>2016</v>
      </c>
      <c r="E699" s="1">
        <v>37.749903725253652</v>
      </c>
      <c r="F699" s="1">
        <v>-99.900780778369295</v>
      </c>
      <c r="G699" s="4" t="str">
        <f>HYPERLINK(CONCATENATE("https://ee-faluhong.projects.earthengine.app/view/isp-ts-evaluation#id=698 2015-&gt;2016;lat=37.74990372525365;lon=-99.9007807783693;year=2015;bf=7;level=18;"), "landsat_time_series")</f>
        <v>landsat_time_series</v>
      </c>
      <c r="H699" s="4" t="str">
        <f>HYPERLINK(CONCATENATE("https://jstnbraaten.users.earthengine.app/view/landsat-timeseries-explorer#run=true;lon=-99.9007807783693;lat=37.74990372525365;from=01-01;to=12-31;index=NDVI;rgb=NIR%2FRED%2FGREEN;chipwidth=1;"), "landsat_chips")</f>
        <v>landsat_chips</v>
      </c>
      <c r="I699" s="4" t="str">
        <f>HYPERLINK(CONCATENATE("https://livingatlas.arcgis.com/wayback/#ext=-99.9017807783693,37.75090372525365,-99.89978077836929,37.748903725253655"), "wayback")</f>
        <v>wayback</v>
      </c>
      <c r="J699" s="9" t="s">
        <v>17</v>
      </c>
      <c r="L699" s="9" t="s">
        <v>15</v>
      </c>
    </row>
    <row r="700" spans="1:13">
      <c r="A700" s="1" t="s">
        <v>117</v>
      </c>
      <c r="B700" s="1">
        <v>699</v>
      </c>
      <c r="C700" s="1">
        <v>2004</v>
      </c>
      <c r="D700" s="1">
        <v>2005</v>
      </c>
      <c r="E700" s="1">
        <v>32.589493491187064</v>
      </c>
      <c r="F700" s="1">
        <v>-97.053143942362141</v>
      </c>
      <c r="G700" s="4" t="str">
        <f>HYPERLINK(CONCATENATE("https://ee-faluhong.projects.earthengine.app/view/isp-ts-evaluation#id=699 2004-&gt;2005;lat=32.58949349118706;lon=-97.05314394236214;year=2004;bf=7;level=18;"), "landsat_time_series")</f>
        <v>landsat_time_series</v>
      </c>
      <c r="H700" s="4" t="str">
        <f>HYPERLINK(CONCATENATE("https://jstnbraaten.users.earthengine.app/view/landsat-timeseries-explorer#run=true;lon=-97.05314394236214;lat=32.58949349118706;from=01-01;to=12-31;index=NDVI;rgb=NIR%2FRED%2FGREEN;chipwidth=1;"), "landsat_chips")</f>
        <v>landsat_chips</v>
      </c>
      <c r="I700" s="4" t="str">
        <f>HYPERLINK(CONCATENATE("https://livingatlas.arcgis.com/wayback/#ext=-97.05414394236215,32.59049349118706,-97.05214394236214,32.588493491187066"), "wayback")</f>
        <v>wayback</v>
      </c>
      <c r="J700" s="9" t="s">
        <v>19</v>
      </c>
      <c r="L700" s="9" t="s">
        <v>24</v>
      </c>
      <c r="M700" s="9" t="s">
        <v>154</v>
      </c>
    </row>
    <row r="701" spans="1:13">
      <c r="A701" s="1" t="s">
        <v>117</v>
      </c>
      <c r="B701" s="1">
        <v>700</v>
      </c>
      <c r="C701" s="1">
        <v>2013</v>
      </c>
      <c r="D701" s="1">
        <v>2014</v>
      </c>
      <c r="E701" s="1">
        <v>45.448228319181233</v>
      </c>
      <c r="F701" s="1">
        <v>-94.143546318890969</v>
      </c>
      <c r="G701" s="4" t="str">
        <f>HYPERLINK(CONCATENATE("https://ee-faluhong.projects.earthengine.app/view/isp-ts-evaluation#id=700 2013-&gt;2014;lat=45.44822831918123;lon=-94.14354631889097;year=2013;bf=7;level=18;"), "landsat_time_series")</f>
        <v>landsat_time_series</v>
      </c>
      <c r="H701" s="4" t="str">
        <f>HYPERLINK(CONCATENATE("https://jstnbraaten.users.earthengine.app/view/landsat-timeseries-explorer#run=true;lon=-94.14354631889097;lat=45.44822831918123;from=01-01;to=12-31;index=NDVI;rgb=NIR%2FRED%2FGREEN;chipwidth=1;"), "landsat_chips")</f>
        <v>landsat_chips</v>
      </c>
      <c r="I701" s="4" t="str">
        <f>HYPERLINK(CONCATENATE("https://livingatlas.arcgis.com/wayback/#ext=-94.14454631889097,45.44922831918123,-94.14254631889096,45.447228319181235"), "wayback")</f>
        <v>wayback</v>
      </c>
      <c r="J701" s="9" t="s">
        <v>19</v>
      </c>
      <c r="L701" s="9" t="s">
        <v>15</v>
      </c>
    </row>
  </sheetData>
  <autoFilter ref="A1:M701" xr:uid="{00000000-0001-0000-0000-000000000000}"/>
  <dataConsolidate/>
  <phoneticPr fontId="6" type="noConversion"/>
  <pageMargins left="0.75" right="0.75" top="1" bottom="1" header="0.5" footer="0.5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6FE64A-422B-4421-97A5-CF9F70412254}">
          <x14:formula1>
            <xm:f>selection_option!$E$2:$E$5</xm:f>
          </x14:formula1>
          <xm:sqref>L2:L347 L349:L1048387</xm:sqref>
        </x14:dataValidation>
        <x14:dataValidation type="list" allowBlank="1" showInputMessage="1" showErrorMessage="1" xr:uid="{5FA7656D-19EC-4079-A50C-6B44B7DA2116}">
          <x14:formula1>
            <xm:f>selection_option!$C$2:$C$4</xm:f>
          </x14:formula1>
          <xm:sqref>K367:K426 K2:K365 K428:K1048387</xm:sqref>
        </x14:dataValidation>
        <x14:dataValidation type="list" allowBlank="1" showInputMessage="1" showErrorMessage="1" xr:uid="{6C9B57FB-3DB3-4104-B85F-4389975B72B2}">
          <x14:formula1>
            <xm:f>selection_option!$A$2:$A$9</xm:f>
          </x14:formula1>
          <xm:sqref>J2:J1048387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3564-C79D-44E9-A814-FFF741CC31D9}">
  <dimension ref="A1:E9"/>
  <sheetViews>
    <sheetView workbookViewId="0">
      <selection activeCell="D22" sqref="D22"/>
    </sheetView>
  </sheetViews>
  <sheetFormatPr defaultColWidth="8.81640625" defaultRowHeight="14.5"/>
  <cols>
    <col min="1" max="1" width="26.81640625" customWidth="1"/>
    <col min="3" max="3" width="20.26953125" customWidth="1"/>
    <col min="5" max="5" width="16.1796875" customWidth="1"/>
  </cols>
  <sheetData>
    <row r="1" spans="1:5">
      <c r="A1" s="2" t="s">
        <v>155</v>
      </c>
      <c r="C1" s="2" t="s">
        <v>156</v>
      </c>
      <c r="E1" s="2" t="s">
        <v>11</v>
      </c>
    </row>
    <row r="2" spans="1:5">
      <c r="A2" s="1" t="s">
        <v>19</v>
      </c>
      <c r="C2" t="s">
        <v>40</v>
      </c>
      <c r="E2" s="3" t="s">
        <v>15</v>
      </c>
    </row>
    <row r="3" spans="1:5">
      <c r="A3" s="1" t="s">
        <v>17</v>
      </c>
      <c r="C3" t="s">
        <v>35</v>
      </c>
      <c r="E3" s="3" t="s">
        <v>24</v>
      </c>
    </row>
    <row r="4" spans="1:5">
      <c r="A4" s="1" t="s">
        <v>14</v>
      </c>
      <c r="C4" t="s">
        <v>26</v>
      </c>
      <c r="E4" s="3" t="s">
        <v>31</v>
      </c>
    </row>
    <row r="5" spans="1:5">
      <c r="A5" s="1" t="s">
        <v>21</v>
      </c>
      <c r="E5" s="3" t="s">
        <v>56</v>
      </c>
    </row>
    <row r="6" spans="1:5">
      <c r="A6" s="1" t="s">
        <v>44</v>
      </c>
    </row>
    <row r="7" spans="1:5">
      <c r="A7" s="1" t="s">
        <v>27</v>
      </c>
    </row>
    <row r="8" spans="1:5">
      <c r="A8" s="1" t="s">
        <v>25</v>
      </c>
    </row>
    <row r="9" spans="1:5">
      <c r="A9" s="1" t="s">
        <v>34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E4E4-F3EA-4561-80A7-886CEA4024BB}">
  <dimension ref="A1:C10"/>
  <sheetViews>
    <sheetView zoomScaleNormal="85" workbookViewId="0">
      <selection activeCell="B21" sqref="B21"/>
    </sheetView>
  </sheetViews>
  <sheetFormatPr defaultColWidth="9.26953125" defaultRowHeight="18.5"/>
  <cols>
    <col min="1" max="1" width="29.81640625" style="6" customWidth="1"/>
    <col min="2" max="2" width="143.26953125" style="6" customWidth="1"/>
    <col min="3" max="3" width="94.453125" style="6" customWidth="1"/>
    <col min="4" max="16384" width="9.26953125" style="6"/>
  </cols>
  <sheetData>
    <row r="1" spans="1:3" ht="45" customHeight="1" thickTop="1" thickBot="1">
      <c r="A1" s="5" t="s">
        <v>157</v>
      </c>
      <c r="B1" s="5" t="s">
        <v>158</v>
      </c>
      <c r="C1" s="5" t="s">
        <v>159</v>
      </c>
    </row>
    <row r="2" spans="1:3" ht="45" customHeight="1" thickTop="1">
      <c r="A2" s="7" t="s">
        <v>160</v>
      </c>
      <c r="B2" s="7" t="s">
        <v>161</v>
      </c>
    </row>
    <row r="3" spans="1:3" ht="45" customHeight="1">
      <c r="A3" s="7" t="s">
        <v>162</v>
      </c>
      <c r="B3" s="7" t="s">
        <v>163</v>
      </c>
    </row>
    <row r="4" spans="1:3" ht="45" customHeight="1">
      <c r="A4" s="7" t="s">
        <v>14</v>
      </c>
      <c r="B4" s="7" t="s">
        <v>164</v>
      </c>
    </row>
    <row r="5" spans="1:3" ht="71.150000000000006" customHeight="1">
      <c r="A5" s="7" t="s">
        <v>21</v>
      </c>
      <c r="B5" s="7" t="s">
        <v>165</v>
      </c>
    </row>
    <row r="6" spans="1:3" ht="64.400000000000006" customHeight="1">
      <c r="A6" s="7" t="s">
        <v>44</v>
      </c>
      <c r="B6" s="7" t="s">
        <v>166</v>
      </c>
    </row>
    <row r="7" spans="1:3" ht="64.400000000000006" customHeight="1">
      <c r="A7" s="7" t="s">
        <v>27</v>
      </c>
      <c r="B7" s="7" t="s">
        <v>167</v>
      </c>
    </row>
    <row r="8" spans="1:3" ht="117" customHeight="1">
      <c r="A8" s="7" t="s">
        <v>25</v>
      </c>
      <c r="B8" s="7" t="s">
        <v>168</v>
      </c>
      <c r="C8" s="7" t="s">
        <v>169</v>
      </c>
    </row>
    <row r="9" spans="1:3" ht="82.4" customHeight="1" thickBot="1">
      <c r="A9" s="8" t="s">
        <v>34</v>
      </c>
      <c r="B9" s="8" t="s">
        <v>170</v>
      </c>
      <c r="C9" s="8"/>
    </row>
    <row r="10" spans="1:3" ht="19" thickTop="1"/>
  </sheetData>
  <phoneticPr fontId="6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2e0f77-cb3c-40e6-8b4e-93814753d7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1C3B0C0658B4F97B935EC71D622FE" ma:contentTypeVersion="16" ma:contentTypeDescription="Create a new document." ma:contentTypeScope="" ma:versionID="ab639718c2b32abb56b9b8fb71f1f0d3">
  <xsd:schema xmlns:xsd="http://www.w3.org/2001/XMLSchema" xmlns:xs="http://www.w3.org/2001/XMLSchema" xmlns:p="http://schemas.microsoft.com/office/2006/metadata/properties" xmlns:ns3="3a2e0f77-cb3c-40e6-8b4e-93814753d752" xmlns:ns4="8658b94e-f8f8-4871-abb3-ac36968fcb1d" targetNamespace="http://schemas.microsoft.com/office/2006/metadata/properties" ma:root="true" ma:fieldsID="93bcb45e0d8f51c9c8d733b0b69dc91a" ns3:_="" ns4:_="">
    <xsd:import namespace="3a2e0f77-cb3c-40e6-8b4e-93814753d752"/>
    <xsd:import namespace="8658b94e-f8f8-4871-abb3-ac36968fcb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e0f77-cb3c-40e6-8b4e-93814753d7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8b94e-f8f8-4871-abb3-ac36968fcb1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E8BF9-FAC5-4E5E-893C-4A8DA828CC2D}">
  <ds:schemaRefs>
    <ds:schemaRef ds:uri="http://schemas.microsoft.com/office/2006/metadata/properties"/>
    <ds:schemaRef ds:uri="http://schemas.microsoft.com/office/infopath/2007/PartnerControls"/>
    <ds:schemaRef ds:uri="3a2e0f77-cb3c-40e6-8b4e-93814753d752"/>
  </ds:schemaRefs>
</ds:datastoreItem>
</file>

<file path=customXml/itemProps2.xml><?xml version="1.0" encoding="utf-8"?>
<ds:datastoreItem xmlns:ds="http://schemas.openxmlformats.org/officeDocument/2006/customXml" ds:itemID="{3858C37C-3829-4549-BB80-6011F0EFB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2e0f77-cb3c-40e6-8b4e-93814753d752"/>
    <ds:schemaRef ds:uri="8658b94e-f8f8-4871-abb3-ac36968fc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DE57AE-1688-4A3F-9DA7-A24A0B6137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interpretation_record</vt:lpstr>
      <vt:lpstr>selection_option</vt:lpstr>
      <vt:lpstr>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falu hong</cp:lastModifiedBy>
  <cp:revision/>
  <dcterms:created xsi:type="dcterms:W3CDTF">2025-04-19T22:01:46Z</dcterms:created>
  <dcterms:modified xsi:type="dcterms:W3CDTF">2026-01-13T11:03:55Z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0x0101003081C3B0C0658B4F97B935EC71D622FE</vt:lpwstr>
  </property>
</Properties>
</file>